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ТЕРВЕР\"/>
    </mc:Choice>
  </mc:AlternateContent>
  <xr:revisionPtr revIDLastSave="0" documentId="13_ncr:1_{7AA2E954-9FDF-4739-B7D7-BE78227BEA00}" xr6:coauthVersionLast="47" xr6:coauthVersionMax="47" xr10:uidLastSave="{00000000-0000-0000-0000-000000000000}"/>
  <bookViews>
    <workbookView xWindow="-120" yWindow="-120" windowWidth="29040" windowHeight="15840" activeTab="2" xr2:uid="{A5A4FE74-103D-4BEC-B778-985AD4E5B91C}"/>
  </bookViews>
  <sheets>
    <sheet name="Задание 1.1 и 1.2" sheetId="1" r:id="rId1"/>
    <sheet name="Задание 1.3" sheetId="2" r:id="rId2"/>
    <sheet name="Задание 1.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3" l="1"/>
  <c r="C17" i="3"/>
  <c r="A3" i="2" l="1"/>
  <c r="A1" i="2"/>
  <c r="F8" i="1"/>
  <c r="F7" i="1"/>
  <c r="F5" i="1"/>
  <c r="F4" i="1"/>
  <c r="F3" i="1"/>
  <c r="F2" i="1"/>
  <c r="F1" i="1"/>
  <c r="C7" i="1"/>
  <c r="C9" i="1" s="1"/>
  <c r="D7" i="1"/>
  <c r="C6" i="1"/>
  <c r="C5" i="1"/>
  <c r="D2" i="1"/>
  <c r="D1" i="1"/>
  <c r="C3" i="1"/>
  <c r="C2" i="1"/>
  <c r="C1" i="1"/>
  <c r="C10" i="1" l="1"/>
</calcChain>
</file>

<file path=xl/sharedStrings.xml><?xml version="1.0" encoding="utf-8"?>
<sst xmlns="http://schemas.openxmlformats.org/spreadsheetml/2006/main" count="27" uniqueCount="27">
  <si>
    <t>"- СКО"</t>
  </si>
  <si>
    <t xml:space="preserve"> - n</t>
  </si>
  <si>
    <t xml:space="preserve"> - df</t>
  </si>
  <si>
    <t xml:space="preserve"> - доверительный интервал</t>
  </si>
  <si>
    <t xml:space="preserve">   - нижняя граница</t>
  </si>
  <si>
    <t xml:space="preserve">  - верхняя граница</t>
  </si>
  <si>
    <t xml:space="preserve">  - х2 нижний</t>
  </si>
  <si>
    <t xml:space="preserve"> - х2 верхний</t>
  </si>
  <si>
    <t xml:space="preserve"> - (n-1)*S2</t>
  </si>
  <si>
    <t xml:space="preserve">  -доверительный интервал для СКО</t>
  </si>
  <si>
    <t xml:space="preserve"> - минимальный обьем выборки n</t>
  </si>
  <si>
    <t>Столбец1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</si>
  <si>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</si>
  <si>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</si>
  <si>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</si>
  <si>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</si>
  <si>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</si>
  <si>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</si>
  <si>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</si>
  <si>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</si>
  <si>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</si>
  <si>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</si>
  <si>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</si>
  <si>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</si>
  <si>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</si>
  <si>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Уровень надежности(90,0%)</t>
  </si>
  <si>
    <t xml:space="preserve">  - интервал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</si>
</sst>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Fill="1" applyBorder="1" applyAlignment="1"/>
    <xf numFmtId="0" fontId="1" fillId="0" borderId="2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9F82-E8B9-42E3-8EC6-42495A2E7334}">
  <dimension ref="A1:G12"/>
  <sheetViews>
    <sheetView workbookViewId="0">
      <selection activeCell="H6" sqref="H6"/>
    </sheetView>
  </sheetViews>
  <sheetFormatPr defaultRowHeight="15" x14ac:dyDescent="0.25"/>
  <cols>
    <col min="4" max="4" width="25.140625" customWidth="1"/>
    <col min="7" max="7" width="35.28515625" customWidth="1"/>
  </cols>
  <sheetData>
    <row r="1" spans="1:7" x14ac:dyDescent="0.25">
      <c r="A1" s="1">
        <v>46</v>
      </c>
      <c r="C1" s="2">
        <f>AVERAGE(A1:A12)</f>
        <v>45.833333333333336</v>
      </c>
      <c r="D1" s="2" t="str">
        <f>"- среднее"</f>
        <v>- среднее</v>
      </c>
      <c r="F1" s="3">
        <f>C6*C2</f>
        <v>53.666666666666679</v>
      </c>
      <c r="G1" s="3" t="s">
        <v>8</v>
      </c>
    </row>
    <row r="2" spans="1:7" x14ac:dyDescent="0.25">
      <c r="A2" s="1">
        <v>45</v>
      </c>
      <c r="C2" s="2">
        <f>_xlfn.VAR.S(A1:A12)</f>
        <v>4.8787878787878798</v>
      </c>
      <c r="D2" s="2" t="str">
        <f>"- несмещенная дисперсия"</f>
        <v>- несмещенная дисперсия</v>
      </c>
      <c r="F2" s="3">
        <f>_xlfn.CHISQ.INV.RT(0.05,C6)</f>
        <v>19.675137572682498</v>
      </c>
      <c r="G2" s="3" t="s">
        <v>7</v>
      </c>
    </row>
    <row r="3" spans="1:7" x14ac:dyDescent="0.25">
      <c r="A3" s="1">
        <v>49</v>
      </c>
      <c r="C3" s="2">
        <f>_xlfn.STDEV.S(A1:A12)</f>
        <v>2.2087978356535665</v>
      </c>
      <c r="D3" s="2" t="s">
        <v>0</v>
      </c>
      <c r="F3" s="3">
        <f>_xlfn.CHISQ.INV.RT(0.95,C6)</f>
        <v>4.5748130793222259</v>
      </c>
      <c r="G3" s="3" t="s">
        <v>6</v>
      </c>
    </row>
    <row r="4" spans="1:7" x14ac:dyDescent="0.25">
      <c r="A4" s="1">
        <v>45</v>
      </c>
      <c r="F4" s="3">
        <f>F1 /F2</f>
        <v>2.7276386997760542</v>
      </c>
      <c r="G4" s="3" t="s">
        <v>4</v>
      </c>
    </row>
    <row r="5" spans="1:7" x14ac:dyDescent="0.25">
      <c r="A5" s="1">
        <v>48</v>
      </c>
      <c r="C5" s="2">
        <f xml:space="preserve"> COUNT(A1:A12)</f>
        <v>12</v>
      </c>
      <c r="D5" s="2" t="s">
        <v>1</v>
      </c>
      <c r="F5" s="3">
        <f>F1 /F3</f>
        <v>11.730898232593489</v>
      </c>
      <c r="G5" s="3" t="s">
        <v>5</v>
      </c>
    </row>
    <row r="6" spans="1:7" x14ac:dyDescent="0.25">
      <c r="A6" s="1">
        <v>43</v>
      </c>
      <c r="C6" s="2">
        <f>C5-1</f>
        <v>11</v>
      </c>
      <c r="D6" s="2" t="s">
        <v>2</v>
      </c>
    </row>
    <row r="7" spans="1:7" x14ac:dyDescent="0.25">
      <c r="A7" s="1">
        <v>47</v>
      </c>
      <c r="C7" s="2">
        <f>_xlfn.CONFIDENCE.T(0.1,C3,C5)</f>
        <v>1.1451010799747705</v>
      </c>
      <c r="D7" s="2" t="str">
        <f xml:space="preserve"> "- полуширина"</f>
        <v>- полуширина</v>
      </c>
      <c r="F7" s="3">
        <f xml:space="preserve"> SQRT(F4)</f>
        <v>1.6515564476505349</v>
      </c>
      <c r="G7" s="3" t="s">
        <v>9</v>
      </c>
    </row>
    <row r="8" spans="1:7" x14ac:dyDescent="0.25">
      <c r="A8" s="1">
        <v>42</v>
      </c>
      <c r="F8" s="3">
        <f xml:space="preserve"> SQRT(F5)</f>
        <v>3.4250398877375852</v>
      </c>
      <c r="G8" s="3"/>
    </row>
    <row r="9" spans="1:7" x14ac:dyDescent="0.25">
      <c r="A9" s="1">
        <v>45</v>
      </c>
      <c r="C9" s="2">
        <f>C1-C7</f>
        <v>44.688232253358564</v>
      </c>
      <c r="D9" s="2" t="s">
        <v>3</v>
      </c>
    </row>
    <row r="10" spans="1:7" x14ac:dyDescent="0.25">
      <c r="A10" s="1">
        <v>48</v>
      </c>
      <c r="C10" s="2">
        <f>C1+C7</f>
        <v>46.978434413308108</v>
      </c>
      <c r="D10" s="2"/>
    </row>
    <row r="11" spans="1:7" x14ac:dyDescent="0.25">
      <c r="A11" s="1">
        <v>48</v>
      </c>
    </row>
    <row r="12" spans="1:7" x14ac:dyDescent="0.25">
      <c r="A12" s="1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F961D-D3AE-40C6-A42A-7C8C0BB28FBF}">
  <dimension ref="A1:E3"/>
  <sheetViews>
    <sheetView workbookViewId="0">
      <selection activeCell="B9" sqref="B9"/>
    </sheetView>
  </sheetViews>
  <sheetFormatPr defaultRowHeight="15" x14ac:dyDescent="0.25"/>
  <sheetData>
    <row r="1" spans="1:5" x14ac:dyDescent="0.25">
      <c r="A1" s="1">
        <f>'Задание 1.1 и 1.2'!C3</f>
        <v>2.2087978356535665</v>
      </c>
    </row>
    <row r="3" spans="1:5" x14ac:dyDescent="0.25">
      <c r="A3" s="3">
        <f>ROUNDUP((1.96* A1 / 0.2)^2, 0)</f>
        <v>469</v>
      </c>
      <c r="B3" s="3" t="s">
        <v>10</v>
      </c>
      <c r="C3" s="3"/>
      <c r="D3" s="3"/>
      <c r="E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58E90-A8FC-419A-896D-A8B08B74D30E}">
  <dimension ref="A1:D108"/>
  <sheetViews>
    <sheetView tabSelected="1" topLeftCell="A88" workbookViewId="0">
      <selection sqref="A1:A108"/>
    </sheetView>
  </sheetViews>
  <sheetFormatPr defaultRowHeight="15" x14ac:dyDescent="0.25"/>
  <cols>
    <col min="3" max="3" width="33.7109375" customWidth="1"/>
    <col min="4" max="4" width="15.42578125" customWidth="1"/>
  </cols>
  <sheetData>
    <row r="1" spans="1:4" x14ac:dyDescent="0.25">
      <c r="A1">
        <v>303</v>
      </c>
      <c r="C1" s="5" t="s">
        <v>11</v>
      </c>
      <c r="D1" s="5"/>
    </row>
    <row r="2" spans="1:4" x14ac:dyDescent="0.25">
      <c r="A2">
        <v>350</v>
      </c>
      <c r="C2" s="4"/>
      <c r="D2" s="4"/>
    </row>
    <row r="3" spans="1:4" x14ac:dyDescent="0.25">
      <c r="A3">
        <v>309</v>
      </c>
      <c r="C3" s="4" t="s">
        <v>12</v>
      </c>
      <c r="D3" s="4">
        <v>318.66666666666669</v>
      </c>
    </row>
    <row r="4" spans="1:4" x14ac:dyDescent="0.25">
      <c r="A4">
        <v>327</v>
      </c>
      <c r="C4" s="4" t="s">
        <v>13</v>
      </c>
      <c r="D4" s="4">
        <v>1.3463153053241086</v>
      </c>
    </row>
    <row r="5" spans="1:4" x14ac:dyDescent="0.25">
      <c r="A5">
        <v>345</v>
      </c>
      <c r="C5" s="4" t="s">
        <v>14</v>
      </c>
      <c r="D5" s="4">
        <v>317</v>
      </c>
    </row>
    <row r="6" spans="1:4" x14ac:dyDescent="0.25">
      <c r="A6">
        <v>329</v>
      </c>
      <c r="C6" s="4" t="s">
        <v>15</v>
      </c>
      <c r="D6" s="4">
        <v>313</v>
      </c>
    </row>
    <row r="7" spans="1:4" x14ac:dyDescent="0.25">
      <c r="A7">
        <v>338</v>
      </c>
      <c r="C7" s="4" t="s">
        <v>16</v>
      </c>
      <c r="D7" s="4">
        <v>13.991319070973772</v>
      </c>
    </row>
    <row r="8" spans="1:4" x14ac:dyDescent="0.25">
      <c r="A8">
        <v>310</v>
      </c>
      <c r="C8" s="4" t="s">
        <v>17</v>
      </c>
      <c r="D8" s="4">
        <v>195.75700934579439</v>
      </c>
    </row>
    <row r="9" spans="1:4" x14ac:dyDescent="0.25">
      <c r="A9">
        <v>316</v>
      </c>
      <c r="C9" s="4" t="s">
        <v>18</v>
      </c>
      <c r="D9" s="4">
        <v>6.2036500585136025</v>
      </c>
    </row>
    <row r="10" spans="1:4" x14ac:dyDescent="0.25">
      <c r="A10">
        <v>324</v>
      </c>
      <c r="C10" s="4" t="s">
        <v>19</v>
      </c>
      <c r="D10" s="4">
        <v>1.4542731800063211</v>
      </c>
    </row>
    <row r="11" spans="1:4" x14ac:dyDescent="0.25">
      <c r="A11">
        <v>310</v>
      </c>
      <c r="C11" s="4" t="s">
        <v>20</v>
      </c>
      <c r="D11" s="4">
        <v>104</v>
      </c>
    </row>
    <row r="12" spans="1:4" x14ac:dyDescent="0.25">
      <c r="A12">
        <v>306</v>
      </c>
      <c r="C12" s="4" t="s">
        <v>21</v>
      </c>
      <c r="D12" s="4">
        <v>288</v>
      </c>
    </row>
    <row r="13" spans="1:4" x14ac:dyDescent="0.25">
      <c r="A13">
        <v>308</v>
      </c>
      <c r="C13" s="4" t="s">
        <v>22</v>
      </c>
      <c r="D13" s="4">
        <v>392</v>
      </c>
    </row>
    <row r="14" spans="1:4" x14ac:dyDescent="0.25">
      <c r="A14">
        <v>302</v>
      </c>
      <c r="C14" s="4" t="s">
        <v>23</v>
      </c>
      <c r="D14" s="4">
        <v>34416</v>
      </c>
    </row>
    <row r="15" spans="1:4" x14ac:dyDescent="0.25">
      <c r="A15">
        <v>315</v>
      </c>
      <c r="C15" s="4" t="s">
        <v>24</v>
      </c>
      <c r="D15" s="4">
        <v>108</v>
      </c>
    </row>
    <row r="16" spans="1:4" x14ac:dyDescent="0.25">
      <c r="A16">
        <v>314</v>
      </c>
      <c r="C16" s="4" t="s">
        <v>25</v>
      </c>
      <c r="D16" s="4">
        <v>2.2338323544748584</v>
      </c>
    </row>
    <row r="17" spans="1:4" x14ac:dyDescent="0.25">
      <c r="A17">
        <v>343</v>
      </c>
      <c r="C17" s="3">
        <f>D3-D16</f>
        <v>316.4328343121918</v>
      </c>
      <c r="D17" s="3" t="s">
        <v>26</v>
      </c>
    </row>
    <row r="18" spans="1:4" x14ac:dyDescent="0.25">
      <c r="A18">
        <v>320</v>
      </c>
      <c r="C18" s="3">
        <f>D4+D16</f>
        <v>3.5801476597989668</v>
      </c>
      <c r="D18" s="3"/>
    </row>
    <row r="19" spans="1:4" x14ac:dyDescent="0.25">
      <c r="A19">
        <v>304</v>
      </c>
    </row>
    <row r="20" spans="1:4" x14ac:dyDescent="0.25">
      <c r="A20">
        <v>306</v>
      </c>
    </row>
    <row r="21" spans="1:4" x14ac:dyDescent="0.25">
      <c r="A21">
        <v>345</v>
      </c>
    </row>
    <row r="22" spans="1:4" x14ac:dyDescent="0.25">
      <c r="A22">
        <v>312</v>
      </c>
    </row>
    <row r="23" spans="1:4" x14ac:dyDescent="0.25">
      <c r="A23">
        <v>330</v>
      </c>
    </row>
    <row r="24" spans="1:4" x14ac:dyDescent="0.25">
      <c r="A24">
        <v>324</v>
      </c>
    </row>
    <row r="25" spans="1:4" x14ac:dyDescent="0.25">
      <c r="A25">
        <v>308</v>
      </c>
    </row>
    <row r="26" spans="1:4" x14ac:dyDescent="0.25">
      <c r="A26">
        <v>326</v>
      </c>
    </row>
    <row r="27" spans="1:4" x14ac:dyDescent="0.25">
      <c r="A27">
        <v>313</v>
      </c>
    </row>
    <row r="28" spans="1:4" x14ac:dyDescent="0.25">
      <c r="A28">
        <v>320</v>
      </c>
    </row>
    <row r="29" spans="1:4" x14ac:dyDescent="0.25">
      <c r="A29">
        <v>328</v>
      </c>
    </row>
    <row r="30" spans="1:4" x14ac:dyDescent="0.25">
      <c r="A30">
        <v>309</v>
      </c>
    </row>
    <row r="31" spans="1:4" x14ac:dyDescent="0.25">
      <c r="A31">
        <v>306</v>
      </c>
    </row>
    <row r="32" spans="1:4" x14ac:dyDescent="0.25">
      <c r="A32">
        <v>313</v>
      </c>
    </row>
    <row r="33" spans="1:1" x14ac:dyDescent="0.25">
      <c r="A33">
        <v>308</v>
      </c>
    </row>
    <row r="34" spans="1:1" x14ac:dyDescent="0.25">
      <c r="A34">
        <v>324</v>
      </c>
    </row>
    <row r="35" spans="1:1" x14ac:dyDescent="0.25">
      <c r="A35">
        <v>312</v>
      </c>
    </row>
    <row r="36" spans="1:1" x14ac:dyDescent="0.25">
      <c r="A36">
        <v>309</v>
      </c>
    </row>
    <row r="37" spans="1:1" x14ac:dyDescent="0.25">
      <c r="A37">
        <v>324</v>
      </c>
    </row>
    <row r="38" spans="1:1" x14ac:dyDescent="0.25">
      <c r="A38">
        <v>321</v>
      </c>
    </row>
    <row r="39" spans="1:1" x14ac:dyDescent="0.25">
      <c r="A39">
        <v>313</v>
      </c>
    </row>
    <row r="40" spans="1:1" x14ac:dyDescent="0.25">
      <c r="A40">
        <v>330</v>
      </c>
    </row>
    <row r="41" spans="1:1" x14ac:dyDescent="0.25">
      <c r="A41">
        <v>330</v>
      </c>
    </row>
    <row r="42" spans="1:1" x14ac:dyDescent="0.25">
      <c r="A42">
        <v>315</v>
      </c>
    </row>
    <row r="43" spans="1:1" x14ac:dyDescent="0.25">
      <c r="A43">
        <v>320</v>
      </c>
    </row>
    <row r="44" spans="1:1" x14ac:dyDescent="0.25">
      <c r="A44">
        <v>315</v>
      </c>
    </row>
    <row r="45" spans="1:1" x14ac:dyDescent="0.25">
      <c r="A45">
        <v>302</v>
      </c>
    </row>
    <row r="46" spans="1:1" x14ac:dyDescent="0.25">
      <c r="A46">
        <v>295</v>
      </c>
    </row>
    <row r="47" spans="1:1" x14ac:dyDescent="0.25">
      <c r="A47">
        <v>337</v>
      </c>
    </row>
    <row r="48" spans="1:1" x14ac:dyDescent="0.25">
      <c r="A48">
        <v>346</v>
      </c>
    </row>
    <row r="49" spans="1:1" x14ac:dyDescent="0.25">
      <c r="A49">
        <v>327</v>
      </c>
    </row>
    <row r="50" spans="1:1" x14ac:dyDescent="0.25">
      <c r="A50">
        <v>320</v>
      </c>
    </row>
    <row r="51" spans="1:1" x14ac:dyDescent="0.25">
      <c r="A51">
        <v>307</v>
      </c>
    </row>
    <row r="52" spans="1:1" x14ac:dyDescent="0.25">
      <c r="A52">
        <v>305</v>
      </c>
    </row>
    <row r="53" spans="1:1" x14ac:dyDescent="0.25">
      <c r="A53">
        <v>323</v>
      </c>
    </row>
    <row r="54" spans="1:1" x14ac:dyDescent="0.25">
      <c r="A54">
        <v>331</v>
      </c>
    </row>
    <row r="55" spans="1:1" x14ac:dyDescent="0.25">
      <c r="A55">
        <v>345</v>
      </c>
    </row>
    <row r="56" spans="1:1" x14ac:dyDescent="0.25">
      <c r="A56">
        <v>303</v>
      </c>
    </row>
    <row r="57" spans="1:1" x14ac:dyDescent="0.25">
      <c r="A57">
        <v>331</v>
      </c>
    </row>
    <row r="58" spans="1:1" x14ac:dyDescent="0.25">
      <c r="A58">
        <v>311</v>
      </c>
    </row>
    <row r="59" spans="1:1" x14ac:dyDescent="0.25">
      <c r="A59">
        <v>322</v>
      </c>
    </row>
    <row r="60" spans="1:1" x14ac:dyDescent="0.25">
      <c r="A60">
        <v>315</v>
      </c>
    </row>
    <row r="61" spans="1:1" x14ac:dyDescent="0.25">
      <c r="A61">
        <v>304</v>
      </c>
    </row>
    <row r="62" spans="1:1" x14ac:dyDescent="0.25">
      <c r="A62">
        <v>324</v>
      </c>
    </row>
    <row r="63" spans="1:1" x14ac:dyDescent="0.25">
      <c r="A63">
        <v>317</v>
      </c>
    </row>
    <row r="64" spans="1:1" x14ac:dyDescent="0.25">
      <c r="A64">
        <v>322</v>
      </c>
    </row>
    <row r="65" spans="1:1" x14ac:dyDescent="0.25">
      <c r="A65">
        <v>312</v>
      </c>
    </row>
    <row r="66" spans="1:1" x14ac:dyDescent="0.25">
      <c r="A66">
        <v>314</v>
      </c>
    </row>
    <row r="67" spans="1:1" x14ac:dyDescent="0.25">
      <c r="A67">
        <v>308</v>
      </c>
    </row>
    <row r="68" spans="1:1" x14ac:dyDescent="0.25">
      <c r="A68">
        <v>319</v>
      </c>
    </row>
    <row r="69" spans="1:1" x14ac:dyDescent="0.25">
      <c r="A69">
        <v>318</v>
      </c>
    </row>
    <row r="70" spans="1:1" x14ac:dyDescent="0.25">
      <c r="A70">
        <v>321</v>
      </c>
    </row>
    <row r="71" spans="1:1" x14ac:dyDescent="0.25">
      <c r="A71">
        <v>312</v>
      </c>
    </row>
    <row r="72" spans="1:1" x14ac:dyDescent="0.25">
      <c r="A72">
        <v>323</v>
      </c>
    </row>
    <row r="73" spans="1:1" x14ac:dyDescent="0.25">
      <c r="A73">
        <v>317</v>
      </c>
    </row>
    <row r="74" spans="1:1" x14ac:dyDescent="0.25">
      <c r="A74">
        <v>288</v>
      </c>
    </row>
    <row r="75" spans="1:1" x14ac:dyDescent="0.25">
      <c r="A75">
        <v>317</v>
      </c>
    </row>
    <row r="76" spans="1:1" x14ac:dyDescent="0.25">
      <c r="A76">
        <v>327</v>
      </c>
    </row>
    <row r="77" spans="1:1" x14ac:dyDescent="0.25">
      <c r="A77">
        <v>392</v>
      </c>
    </row>
    <row r="78" spans="1:1" x14ac:dyDescent="0.25">
      <c r="A78">
        <v>316</v>
      </c>
    </row>
    <row r="79" spans="1:1" x14ac:dyDescent="0.25">
      <c r="A79">
        <v>322</v>
      </c>
    </row>
    <row r="80" spans="1:1" x14ac:dyDescent="0.25">
      <c r="A80">
        <v>319</v>
      </c>
    </row>
    <row r="81" spans="1:1" x14ac:dyDescent="0.25">
      <c r="A81">
        <v>333</v>
      </c>
    </row>
    <row r="82" spans="1:1" x14ac:dyDescent="0.25">
      <c r="A82">
        <v>328</v>
      </c>
    </row>
    <row r="83" spans="1:1" x14ac:dyDescent="0.25">
      <c r="A83">
        <v>313</v>
      </c>
    </row>
    <row r="84" spans="1:1" x14ac:dyDescent="0.25">
      <c r="A84">
        <v>309</v>
      </c>
    </row>
    <row r="85" spans="1:1" x14ac:dyDescent="0.25">
      <c r="A85">
        <v>329</v>
      </c>
    </row>
    <row r="86" spans="1:1" x14ac:dyDescent="0.25">
      <c r="A86">
        <v>313</v>
      </c>
    </row>
    <row r="87" spans="1:1" x14ac:dyDescent="0.25">
      <c r="A87">
        <v>334</v>
      </c>
    </row>
    <row r="88" spans="1:1" x14ac:dyDescent="0.25">
      <c r="A88">
        <v>314</v>
      </c>
    </row>
    <row r="89" spans="1:1" x14ac:dyDescent="0.25">
      <c r="A89">
        <v>320</v>
      </c>
    </row>
    <row r="90" spans="1:1" x14ac:dyDescent="0.25">
      <c r="A90">
        <v>301</v>
      </c>
    </row>
    <row r="91" spans="1:1" x14ac:dyDescent="0.25">
      <c r="A91">
        <v>329</v>
      </c>
    </row>
    <row r="92" spans="1:1" x14ac:dyDescent="0.25">
      <c r="A92">
        <v>321</v>
      </c>
    </row>
    <row r="93" spans="1:1" x14ac:dyDescent="0.25">
      <c r="A93">
        <v>313</v>
      </c>
    </row>
    <row r="94" spans="1:1" x14ac:dyDescent="0.25">
      <c r="A94">
        <v>316</v>
      </c>
    </row>
    <row r="95" spans="1:1" x14ac:dyDescent="0.25">
      <c r="A95">
        <v>300</v>
      </c>
    </row>
    <row r="96" spans="1:1" x14ac:dyDescent="0.25">
      <c r="A96">
        <v>300</v>
      </c>
    </row>
    <row r="97" spans="1:1" x14ac:dyDescent="0.25">
      <c r="A97">
        <v>304</v>
      </c>
    </row>
    <row r="98" spans="1:1" x14ac:dyDescent="0.25">
      <c r="A98">
        <v>306</v>
      </c>
    </row>
    <row r="99" spans="1:1" x14ac:dyDescent="0.25">
      <c r="A99">
        <v>314</v>
      </c>
    </row>
    <row r="100" spans="1:1" x14ac:dyDescent="0.25">
      <c r="A100">
        <v>323</v>
      </c>
    </row>
    <row r="101" spans="1:1" x14ac:dyDescent="0.25">
      <c r="A101">
        <v>318</v>
      </c>
    </row>
    <row r="102" spans="1:1" x14ac:dyDescent="0.25">
      <c r="A102">
        <v>337</v>
      </c>
    </row>
    <row r="103" spans="1:1" x14ac:dyDescent="0.25">
      <c r="A103">
        <v>325</v>
      </c>
    </row>
    <row r="104" spans="1:1" x14ac:dyDescent="0.25">
      <c r="A104">
        <v>323</v>
      </c>
    </row>
    <row r="105" spans="1:1" x14ac:dyDescent="0.25">
      <c r="A105">
        <v>332</v>
      </c>
    </row>
    <row r="106" spans="1:1" x14ac:dyDescent="0.25">
      <c r="A106">
        <v>288</v>
      </c>
    </row>
    <row r="107" spans="1:1" x14ac:dyDescent="0.25">
      <c r="A107">
        <v>313</v>
      </c>
    </row>
    <row r="108" spans="1:1" x14ac:dyDescent="0.25">
      <c r="A108">
        <v>314</v>
      </c>
    </row>
  </sheetData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1.1 и 1.2</vt:lpstr>
      <vt:lpstr>Задание 1.3</vt:lpstr>
      <vt:lpstr>Задание 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2026-05-20T06:21:27Z</dcterms:created>
  <dcterms:modified xsi:type="dcterms:W3CDTF">2026-05-20T07:42:32Z</dcterms:modified>
</cp:coreProperties>
</file>