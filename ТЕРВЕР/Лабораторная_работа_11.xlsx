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tudents\GR_89\Ермаченко Александра\АЛОВТ\"/>
    </mc:Choice>
  </mc:AlternateContent>
  <xr:revisionPtr revIDLastSave="0" documentId="8_{4157AD21-48D3-4A5D-A884-4F7316CE6F34}" xr6:coauthVersionLast="47" xr6:coauthVersionMax="47" xr10:uidLastSave="{00000000-0000-0000-0000-000000000000}"/>
  <bookViews>
    <workbookView xWindow="-120" yWindow="-120" windowWidth="29040" windowHeight="15840" activeTab="1" xr2:uid="{6C99903D-21DE-4A6F-A80C-83DD7A361684}"/>
  </bookViews>
  <sheets>
    <sheet name="Задание 1.1" sheetId="1" r:id="rId1"/>
    <sheet name="Задание 1.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2" l="1"/>
  <c r="A2" i="2"/>
  <c r="A3" i="2"/>
  <c r="B2" i="2" l="1"/>
  <c r="H2" i="1" l="1"/>
  <c r="I2" i="1"/>
  <c r="G2" i="1"/>
  <c r="F2" i="1"/>
  <c r="E3" i="1"/>
  <c r="E2" i="1"/>
  <c r="D3" i="1"/>
  <c r="D2" i="1"/>
</calcChain>
</file>

<file path=xl/sharedStrings.xml><?xml version="1.0" encoding="utf-8"?>
<sst xmlns="http://schemas.openxmlformats.org/spreadsheetml/2006/main" count="38" uniqueCount="29">
  <si>
    <t>Ср</t>
  </si>
  <si>
    <t>Дисперсии</t>
  </si>
  <si>
    <t>Обьед. Дисперсия</t>
  </si>
  <si>
    <t>t-стат</t>
  </si>
  <si>
    <t>Крит-знач</t>
  </si>
  <si>
    <t>p-val</t>
  </si>
  <si>
    <t>Двухвыборочный t-тест с одинаковыми дисперсиями</t>
  </si>
  <si>
    <t>Переменная 1</t>
  </si>
  <si>
    <t>Переменная 2</t>
  </si>
  <si>
    <t>Среднее</t>
  </si>
  <si>
    <t>Дисперсия</t>
  </si>
  <si>
    <t>Наблюдения</t>
  </si>
  <si>
    <t>Объединенная дисперсия</t>
  </si>
  <si>
    <t>Гипотетическая разность средних</t>
  </si>
  <si>
    <t>df</t>
  </si>
  <si>
    <t>t-статистика</t>
  </si>
  <si>
    <t>P(T&lt;=t) одностороннее</t>
  </si>
  <si>
    <t>t критическое одностороннее</t>
  </si>
  <si>
    <t>P(T&lt;=t) двухстороннее</t>
  </si>
  <si>
    <t>t критическое двухстороннее</t>
  </si>
  <si>
    <t>F-стат</t>
  </si>
  <si>
    <t>Крит.знач</t>
  </si>
  <si>
    <t>Вывод</t>
  </si>
  <si>
    <t>Двухвыборочный F-тест для дисперсии</t>
  </si>
  <si>
    <t>F</t>
  </si>
  <si>
    <t>P(F&lt;=f) одностороннее</t>
  </si>
  <si>
    <t>F критическое одностороннее</t>
  </si>
  <si>
    <t>Нельзя отрицать гипотезу</t>
  </si>
  <si>
    <t>дисперсии равны, отвергнуть гипотезу нельзя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</si>
</sst>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Fill="1" applyBorder="1"/>
    <xf numFmtId="0" fontId="0" fillId="0" borderId="0" xfId="0" applyFill="1" applyBorder="1" applyAlignment="1"/>
    <xf numFmtId="0" fontId="0" fillId="0" borderId="2" xfId="0" applyFill="1" applyBorder="1" applyAlignment="1"/>
    <xf numFmtId="0" fontId="1" fillId="0" borderId="3" xfId="0" applyFont="1" applyFill="1" applyBorder="1" applyAlignment="1">
      <alignment horizontal="center"/>
    </xf>
    <xf numFmtId="0" fontId="0" fillId="2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AD3B5-D56B-4515-B740-1D2B7E9B099D}">
  <dimension ref="A1:I18"/>
  <sheetViews>
    <sheetView workbookViewId="0">
      <selection activeCell="H15" sqref="H15"/>
    </sheetView>
  </sheetViews>
  <sheetFormatPr defaultRowHeight="15" x14ac:dyDescent="0.25"/>
  <cols>
    <col min="5" max="5" width="15.42578125" customWidth="1"/>
    <col min="6" max="6" width="18.28515625" customWidth="1"/>
    <col min="8" max="8" width="23.85546875" customWidth="1"/>
  </cols>
  <sheetData>
    <row r="1" spans="1:9" x14ac:dyDescent="0.25">
      <c r="A1">
        <v>46</v>
      </c>
      <c r="B1">
        <v>45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3" t="s">
        <v>5</v>
      </c>
    </row>
    <row r="2" spans="1:9" x14ac:dyDescent="0.25">
      <c r="A2">
        <v>49</v>
      </c>
      <c r="B2">
        <v>45</v>
      </c>
      <c r="D2" s="1">
        <f xml:space="preserve"> AVERAGE(A1:A12)</f>
        <v>46.333333333333336</v>
      </c>
      <c r="E2" s="1">
        <f>_xlfn.VAR.S(A1:A12)</f>
        <v>4.2424242424242431</v>
      </c>
      <c r="F2" s="1">
        <f>((12-1)*_xlfn.VAR.S(A2:A13)+(12-1)*_xlfn.VAR.S(B2:B13))/(12+12-2)</f>
        <v>3.7545454545454544</v>
      </c>
      <c r="G2" s="1">
        <f>(AVERAGE(A2:A13)-AVERAGE(B2:B13))/SQRT(3.424*(1/12+1/12))</f>
        <v>2.2864918777407954</v>
      </c>
      <c r="H2" s="1">
        <f>_xlfn.T.INV.2T(0.01, 22)</f>
        <v>2.8187560606001436</v>
      </c>
      <c r="I2" s="1">
        <f>_xlfn.T.TEST(A2:A13, B2:B13, 2, 2)</f>
        <v>4.9542996425320687E-2</v>
      </c>
    </row>
    <row r="3" spans="1:9" x14ac:dyDescent="0.25">
      <c r="A3">
        <v>48</v>
      </c>
      <c r="B3">
        <v>43</v>
      </c>
      <c r="D3" s="1">
        <f xml:space="preserve"> AVERAGE(B1:B12)</f>
        <v>44.666666666666664</v>
      </c>
      <c r="E3" s="1">
        <f>_xlfn.VAR.S(B1:B12)</f>
        <v>2.6060606060606073</v>
      </c>
      <c r="F3" s="1"/>
      <c r="G3" s="1"/>
      <c r="H3" s="1"/>
      <c r="I3" s="1"/>
    </row>
    <row r="4" spans="1:9" x14ac:dyDescent="0.25">
      <c r="A4">
        <v>47</v>
      </c>
      <c r="B4">
        <v>42</v>
      </c>
      <c r="D4" s="2"/>
      <c r="E4" s="2"/>
      <c r="F4" s="2"/>
      <c r="G4" s="2"/>
      <c r="H4" s="2"/>
    </row>
    <row r="5" spans="1:9" x14ac:dyDescent="0.25">
      <c r="A5">
        <v>45</v>
      </c>
      <c r="B5">
        <v>48</v>
      </c>
      <c r="D5" t="s">
        <v>6</v>
      </c>
      <c r="G5" s="2"/>
      <c r="H5" s="2"/>
    </row>
    <row r="6" spans="1:9" ht="15.75" thickBot="1" x14ac:dyDescent="0.3">
      <c r="A6">
        <v>48</v>
      </c>
      <c r="B6">
        <v>44</v>
      </c>
      <c r="G6" s="2"/>
      <c r="H6" s="2"/>
    </row>
    <row r="7" spans="1:9" x14ac:dyDescent="0.25">
      <c r="A7">
        <v>49</v>
      </c>
      <c r="B7">
        <v>45</v>
      </c>
      <c r="D7" s="6"/>
      <c r="E7" s="6" t="s">
        <v>7</v>
      </c>
      <c r="F7" s="6" t="s">
        <v>8</v>
      </c>
      <c r="G7" s="2"/>
      <c r="H7" s="7" t="s">
        <v>22</v>
      </c>
    </row>
    <row r="8" spans="1:9" x14ac:dyDescent="0.25">
      <c r="A8">
        <v>43</v>
      </c>
      <c r="B8">
        <v>46</v>
      </c>
      <c r="D8" s="4" t="s">
        <v>9</v>
      </c>
      <c r="E8" s="4">
        <v>46.333333333333336</v>
      </c>
      <c r="F8" s="4">
        <v>44.666666666666664</v>
      </c>
      <c r="G8" s="2"/>
      <c r="H8" s="7" t="s">
        <v>27</v>
      </c>
    </row>
    <row r="9" spans="1:9" x14ac:dyDescent="0.25">
      <c r="A9">
        <v>47</v>
      </c>
      <c r="B9">
        <v>46</v>
      </c>
      <c r="D9" s="4" t="s">
        <v>10</v>
      </c>
      <c r="E9" s="4">
        <v>4.2424242424242431</v>
      </c>
      <c r="F9" s="4">
        <v>2.6060606060606073</v>
      </c>
      <c r="G9" s="2"/>
      <c r="H9" s="2"/>
      <c r="I9" s="2"/>
    </row>
    <row r="10" spans="1:9" x14ac:dyDescent="0.25">
      <c r="A10">
        <v>43</v>
      </c>
      <c r="B10">
        <v>44</v>
      </c>
      <c r="D10" s="4" t="s">
        <v>11</v>
      </c>
      <c r="E10" s="4">
        <v>12</v>
      </c>
      <c r="F10" s="4">
        <v>12</v>
      </c>
      <c r="G10" s="2"/>
      <c r="H10" s="2"/>
    </row>
    <row r="11" spans="1:9" x14ac:dyDescent="0.25">
      <c r="A11">
        <v>46</v>
      </c>
      <c r="B11">
        <v>43</v>
      </c>
      <c r="D11" s="4" t="s">
        <v>12</v>
      </c>
      <c r="E11" s="4">
        <v>3.4242424242424248</v>
      </c>
      <c r="F11" s="4"/>
      <c r="G11" s="2"/>
      <c r="H11" s="2"/>
    </row>
    <row r="12" spans="1:9" x14ac:dyDescent="0.25">
      <c r="A12">
        <v>45</v>
      </c>
      <c r="B12">
        <v>45</v>
      </c>
      <c r="D12" s="4" t="s">
        <v>13</v>
      </c>
      <c r="E12" s="4">
        <v>0.01</v>
      </c>
      <c r="F12" s="4"/>
      <c r="G12" s="2"/>
      <c r="H12" s="2"/>
    </row>
    <row r="13" spans="1:9" x14ac:dyDescent="0.25">
      <c r="D13" s="4" t="s">
        <v>14</v>
      </c>
      <c r="E13" s="4">
        <v>22</v>
      </c>
      <c r="F13" s="4"/>
    </row>
    <row r="14" spans="1:9" x14ac:dyDescent="0.25">
      <c r="D14" s="4" t="s">
        <v>15</v>
      </c>
      <c r="E14" s="4">
        <v>2.1929488773706263</v>
      </c>
      <c r="F14" s="4"/>
    </row>
    <row r="15" spans="1:9" x14ac:dyDescent="0.25">
      <c r="D15" s="4" t="s">
        <v>16</v>
      </c>
      <c r="E15" s="4">
        <v>1.9587758623013856E-2</v>
      </c>
      <c r="F15" s="4"/>
    </row>
    <row r="16" spans="1:9" x14ac:dyDescent="0.25">
      <c r="D16" s="4" t="s">
        <v>17</v>
      </c>
      <c r="E16" s="4">
        <v>1.7171443743802424</v>
      </c>
      <c r="F16" s="4"/>
    </row>
    <row r="17" spans="4:6" x14ac:dyDescent="0.25">
      <c r="D17" s="4" t="s">
        <v>18</v>
      </c>
      <c r="E17" s="4">
        <v>3.9175517246027712E-2</v>
      </c>
      <c r="F17" s="4"/>
    </row>
    <row r="18" spans="4:6" ht="15.75" thickBot="1" x14ac:dyDescent="0.3">
      <c r="D18" s="5" t="s">
        <v>19</v>
      </c>
      <c r="E18" s="5">
        <v>2.0738730679040258</v>
      </c>
      <c r="F18" s="5"/>
    </row>
  </sheetData>
  <pageMargins left="0.7" right="0.7" top="0.75" bottom="0.75" header="0.3" footer="0.3"/>
  <pageSetup paperSize="9" orientation="portrait" horizontalDpi="300" verticalDpi="0" copies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01FD9-3607-4A74-AD0A-80EEBB472BE5}">
  <dimension ref="A1:E14"/>
  <sheetViews>
    <sheetView tabSelected="1" workbookViewId="0">
      <selection activeCell="E18" sqref="E18"/>
    </sheetView>
  </sheetViews>
  <sheetFormatPr defaultRowHeight="15" x14ac:dyDescent="0.25"/>
  <cols>
    <col min="1" max="1" width="15.7109375" customWidth="1"/>
    <col min="3" max="3" width="13.5703125" customWidth="1"/>
    <col min="5" max="5" width="45.42578125" customWidth="1"/>
  </cols>
  <sheetData>
    <row r="1" spans="1:5" x14ac:dyDescent="0.25">
      <c r="A1" t="s">
        <v>1</v>
      </c>
      <c r="B1" t="s">
        <v>20</v>
      </c>
      <c r="C1" t="s">
        <v>21</v>
      </c>
      <c r="D1" t="s">
        <v>22</v>
      </c>
    </row>
    <row r="2" spans="1:5" x14ac:dyDescent="0.25">
      <c r="A2">
        <f>'Задание 1.1'!E2</f>
        <v>4.2424242424242431</v>
      </c>
      <c r="B2">
        <f>A2/A3</f>
        <v>1.6279069767441856</v>
      </c>
      <c r="C2">
        <f>_xlfn.F.INV(1-0.01,11,11)</f>
        <v>4.462436043152854</v>
      </c>
    </row>
    <row r="3" spans="1:5" x14ac:dyDescent="0.25">
      <c r="A3">
        <f>'Задание 1.1'!E3</f>
        <v>2.6060606060606073</v>
      </c>
    </row>
    <row r="5" spans="1:5" x14ac:dyDescent="0.25">
      <c r="A5" t="s">
        <v>23</v>
      </c>
    </row>
    <row r="6" spans="1:5" ht="15.75" thickBot="1" x14ac:dyDescent="0.3"/>
    <row r="7" spans="1:5" x14ac:dyDescent="0.25">
      <c r="A7" s="6"/>
      <c r="B7" s="6" t="s">
        <v>7</v>
      </c>
      <c r="C7" s="6" t="s">
        <v>8</v>
      </c>
      <c r="E7" s="7" t="s">
        <v>22</v>
      </c>
    </row>
    <row r="8" spans="1:5" x14ac:dyDescent="0.25">
      <c r="A8" s="4" t="s">
        <v>9</v>
      </c>
      <c r="B8" s="4">
        <v>46.333333333333336</v>
      </c>
      <c r="C8" s="4">
        <v>44.666666666666664</v>
      </c>
      <c r="E8" s="7" t="s">
        <v>28</v>
      </c>
    </row>
    <row r="9" spans="1:5" x14ac:dyDescent="0.25">
      <c r="A9" s="4" t="s">
        <v>10</v>
      </c>
      <c r="B9" s="4">
        <v>4.2424242424242431</v>
      </c>
      <c r="C9" s="4">
        <v>2.6060606060606073</v>
      </c>
    </row>
    <row r="10" spans="1:5" x14ac:dyDescent="0.25">
      <c r="A10" s="4" t="s">
        <v>11</v>
      </c>
      <c r="B10" s="4">
        <v>12</v>
      </c>
      <c r="C10" s="4">
        <v>12</v>
      </c>
    </row>
    <row r="11" spans="1:5" x14ac:dyDescent="0.25">
      <c r="A11" s="4" t="s">
        <v>14</v>
      </c>
      <c r="B11" s="4">
        <v>11</v>
      </c>
      <c r="C11" s="4">
        <v>11</v>
      </c>
    </row>
    <row r="12" spans="1:5" x14ac:dyDescent="0.25">
      <c r="A12" s="4" t="s">
        <v>24</v>
      </c>
      <c r="B12" s="4">
        <v>1.6279069767441856</v>
      </c>
      <c r="C12" s="4"/>
    </row>
    <row r="13" spans="1:5" x14ac:dyDescent="0.25">
      <c r="A13" s="4" t="s">
        <v>25</v>
      </c>
      <c r="B13" s="4">
        <v>0.21587862484585812</v>
      </c>
      <c r="C13" s="4"/>
    </row>
    <row r="14" spans="1:5" ht="15.75" thickBot="1" x14ac:dyDescent="0.3">
      <c r="A14" s="5" t="s">
        <v>26</v>
      </c>
      <c r="B14" s="5">
        <v>4.4624360431528549</v>
      </c>
      <c r="C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1.1</vt:lpstr>
      <vt:lpstr>Задание 1.2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Ермаченко Александра</dc:creator>
  <cp:lastModifiedBy>Ермаченко Александра</cp:lastModifiedBy>
  <dcterms:created xsi:type="dcterms:W3CDTF">2026-06-06T08:19:46Z</dcterms:created>
  <dcterms:modified xsi:type="dcterms:W3CDTF">2026-06-06T09:13:40Z</dcterms:modified>
</cp:coreProperties>
</file>