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45129E2D-1DAF-4D7D-990C-E6F7F898178F}" xr6:coauthVersionLast="47" xr6:coauthVersionMax="47" xr10:uidLastSave="{00000000-0000-0000-0000-000000000000}"/>
  <bookViews>
    <workbookView xWindow="12675" yWindow="675" windowWidth="18105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7" i="1" l="1"/>
  <c r="D286" i="1"/>
  <c r="D285" i="1"/>
  <c r="E277" i="1"/>
  <c r="E280" i="1" s="1"/>
  <c r="E278" i="1"/>
  <c r="D277" i="1"/>
  <c r="D280" i="1" s="1"/>
  <c r="D278" i="1"/>
  <c r="C277" i="1"/>
  <c r="C280" i="1" s="1"/>
  <c r="C278" i="1"/>
  <c r="E276" i="1"/>
  <c r="D276" i="1"/>
  <c r="C276" i="1"/>
  <c r="B263" i="1" a="1"/>
  <c r="B263" i="1" s="1"/>
  <c r="B259" i="1"/>
  <c r="B252" i="1"/>
  <c r="B251" i="1"/>
  <c r="B250" i="1"/>
  <c r="E244" i="1"/>
  <c r="E245" i="1"/>
  <c r="E246" i="1"/>
  <c r="D245" i="1"/>
  <c r="D246" i="1"/>
  <c r="D244" i="1"/>
  <c r="B240" i="1"/>
  <c r="B233" i="1"/>
  <c r="B230" i="1"/>
  <c r="B223" i="1"/>
  <c r="B222" i="1"/>
  <c r="B221" i="1"/>
  <c r="B220" i="1"/>
  <c r="B219" i="1"/>
  <c r="B218" i="1"/>
  <c r="B204" i="1"/>
  <c r="B203" i="1"/>
  <c r="B202" i="1"/>
  <c r="B201" i="1"/>
  <c r="B189" i="1"/>
  <c r="B185" i="1"/>
  <c r="B186" i="1"/>
  <c r="D179" i="1"/>
  <c r="D180" i="1"/>
  <c r="D181" i="1"/>
  <c r="D182" i="1"/>
  <c r="D178" i="1"/>
  <c r="B174" i="1"/>
  <c r="B173" i="1"/>
  <c r="B170" i="1"/>
  <c r="B169" i="1"/>
  <c r="E162" i="1"/>
  <c r="E163" i="1"/>
  <c r="E164" i="1"/>
  <c r="E165" i="1"/>
  <c r="E166" i="1"/>
  <c r="E161" i="1"/>
  <c r="C157" i="1"/>
  <c r="E157" i="1" s="1"/>
  <c r="C156" i="1"/>
  <c r="E156" i="1" s="1"/>
  <c r="B139" i="1"/>
  <c r="D134" i="1"/>
  <c r="D133" i="1"/>
  <c r="D132" i="1"/>
  <c r="D131" i="1"/>
  <c r="D130" i="1"/>
  <c r="D129" i="1"/>
  <c r="D128" i="1"/>
  <c r="C134" i="1"/>
  <c r="C133" i="1"/>
  <c r="C132" i="1"/>
  <c r="C131" i="1"/>
  <c r="C130" i="1"/>
  <c r="C129" i="1"/>
  <c r="C128" i="1"/>
  <c r="D123" i="1"/>
  <c r="D124" i="1"/>
  <c r="D122" i="1"/>
  <c r="C123" i="1"/>
  <c r="E123" i="1" s="1"/>
  <c r="C124" i="1"/>
  <c r="E124" i="1" s="1"/>
  <c r="C122" i="1"/>
  <c r="E122" i="1" s="1"/>
  <c r="B115" i="1"/>
  <c r="B110" i="1"/>
  <c r="C112" i="1" s="1"/>
  <c r="D112" i="1" s="1"/>
  <c r="B107" i="1"/>
  <c r="D106" i="1"/>
  <c r="D105" i="1"/>
  <c r="F105" i="1" s="1"/>
  <c r="F102" i="1"/>
  <c r="F101" i="1"/>
  <c r="F100" i="1"/>
  <c r="B94" i="1"/>
  <c r="B93" i="1"/>
  <c r="B75" i="1"/>
  <c r="B76" i="1" s="1"/>
  <c r="B69" i="1"/>
  <c r="B67" i="1"/>
  <c r="B61" i="1"/>
  <c r="G56" i="1"/>
  <c r="H54" i="1"/>
  <c r="G54" i="1"/>
  <c r="G55" i="1"/>
  <c r="H51" i="1"/>
  <c r="H55" i="1"/>
  <c r="B38" i="1"/>
  <c r="E41" i="1" s="1"/>
  <c r="E44" i="1" s="1"/>
  <c r="E42" i="1"/>
  <c r="E39" i="1"/>
  <c r="B34" i="1"/>
  <c r="B33" i="1"/>
  <c r="B32" i="1"/>
  <c r="L22" i="1"/>
  <c r="L21" i="1"/>
  <c r="L15" i="1"/>
  <c r="L14" i="1"/>
  <c r="D20" i="1"/>
  <c r="C17" i="1"/>
  <c r="E17" i="1" s="1"/>
  <c r="F17" i="1" s="1"/>
  <c r="C18" i="1"/>
  <c r="E18" i="1" s="1"/>
  <c r="F18" i="1" s="1"/>
  <c r="C16" i="1"/>
  <c r="E16" i="1" s="1"/>
  <c r="F16" i="1" s="1"/>
  <c r="K6" i="1"/>
  <c r="N3" i="1"/>
  <c r="N2" i="1"/>
  <c r="N1" i="1"/>
  <c r="K3" i="1"/>
  <c r="K4" i="1"/>
  <c r="K2" i="1"/>
  <c r="C10" i="1"/>
  <c r="D10" i="1"/>
  <c r="B10" i="1"/>
  <c r="D6" i="1"/>
  <c r="D7" i="1"/>
  <c r="D8" i="1"/>
  <c r="D9" i="1"/>
  <c r="D5" i="1"/>
  <c r="C9" i="1"/>
  <c r="C5" i="1"/>
  <c r="C6" i="1"/>
  <c r="C7" i="1"/>
  <c r="C8" i="1"/>
  <c r="B144" i="1" a="1"/>
  <c r="B144" i="1" l="1"/>
  <c r="B145" i="1" s="1"/>
  <c r="B118" i="1"/>
  <c r="C118" i="1" s="1"/>
  <c r="F20" i="1"/>
  <c r="E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<sst xmlns="http://schemas.openxmlformats.org/spreadsheetml/2006/main" count="363" uniqueCount="295">
  <si>
    <t>№</t>
  </si>
  <si>
    <t>Наименование</t>
  </si>
  <si>
    <t>Дата поступления</t>
  </si>
  <si>
    <t>Цена</t>
  </si>
  <si>
    <t>Клубника</t>
  </si>
  <si>
    <t xml:space="preserve">Дата продажи </t>
  </si>
  <si>
    <t>Количество</t>
  </si>
  <si>
    <t>Стоимость</t>
  </si>
  <si>
    <t>Итого</t>
  </si>
  <si>
    <t>1 Задание</t>
  </si>
  <si>
    <t>Кол-во</t>
  </si>
  <si>
    <t>Яблоки</t>
  </si>
  <si>
    <t>Груши</t>
  </si>
  <si>
    <t>Апельсины</t>
  </si>
  <si>
    <t>Скидка</t>
  </si>
  <si>
    <t>К оплате</t>
  </si>
  <si>
    <t>2 Задание</t>
  </si>
  <si>
    <t>Дата приема</t>
  </si>
  <si>
    <t>Стаж</t>
  </si>
  <si>
    <t>Оклад</t>
  </si>
  <si>
    <t>Надбавка</t>
  </si>
  <si>
    <t>3 Задание</t>
  </si>
  <si>
    <t>Дата выдачи</t>
  </si>
  <si>
    <t>Дата возврата</t>
  </si>
  <si>
    <t>Срок проката</t>
  </si>
  <si>
    <t>дней</t>
  </si>
  <si>
    <t xml:space="preserve">4 задание </t>
  </si>
  <si>
    <t>Вес</t>
  </si>
  <si>
    <t>Расстояние</t>
  </si>
  <si>
    <t>Тариф за кг</t>
  </si>
  <si>
    <t xml:space="preserve">5 Задание </t>
  </si>
  <si>
    <t>Марка авто (1/2)</t>
  </si>
  <si>
    <t>Показание спидометра, км</t>
  </si>
  <si>
    <t>В г. N</t>
  </si>
  <si>
    <t>В г. NN</t>
  </si>
  <si>
    <t>Марка бензина</t>
  </si>
  <si>
    <t>Цена 1л</t>
  </si>
  <si>
    <t>Всего литров</t>
  </si>
  <si>
    <t>Стоимость топлива</t>
  </si>
  <si>
    <t>Цена 1 л. Бензина</t>
  </si>
  <si>
    <t>Расход на 100 км</t>
  </si>
  <si>
    <t>Газ(1)</t>
  </si>
  <si>
    <t>Ваз(2)</t>
  </si>
  <si>
    <t>6 Задание</t>
  </si>
  <si>
    <t>Месяц</t>
  </si>
  <si>
    <t>Оплата</t>
  </si>
  <si>
    <t>Январь</t>
  </si>
  <si>
    <t>Февраль</t>
  </si>
  <si>
    <t>Март</t>
  </si>
  <si>
    <t>Апрель</t>
  </si>
  <si>
    <t>Рабочих дней в месяце</t>
  </si>
  <si>
    <t>Больничных дней</t>
  </si>
  <si>
    <t>Рабочих дней</t>
  </si>
  <si>
    <t>Средний заработок</t>
  </si>
  <si>
    <t>Начислено по б/л</t>
  </si>
  <si>
    <t>Начислено за раб/дни</t>
  </si>
  <si>
    <t>Всего начислено</t>
  </si>
  <si>
    <t>7 Задача</t>
  </si>
  <si>
    <t>Вид потребителя</t>
  </si>
  <si>
    <t>Газовая плита</t>
  </si>
  <si>
    <t>Электроплита</t>
  </si>
  <si>
    <t>Норма</t>
  </si>
  <si>
    <t>Потребление сверх нормы</t>
  </si>
  <si>
    <t>Тариф,руб/кВТ*ч</t>
  </si>
  <si>
    <t>кВт*ч на 1 чел</t>
  </si>
  <si>
    <t>Норма потребления</t>
  </si>
  <si>
    <t>Расчет оплаты</t>
  </si>
  <si>
    <t>Показания счетчика в начале месяца</t>
  </si>
  <si>
    <t>В конце</t>
  </si>
  <si>
    <t>Всего кВт*ч</t>
  </si>
  <si>
    <t>Кол-во человек</t>
  </si>
  <si>
    <t>кВт*ч</t>
  </si>
  <si>
    <t>Цена кВт*ч</t>
  </si>
  <si>
    <t>Норм.Потребл</t>
  </si>
  <si>
    <t>Сверх нормы</t>
  </si>
  <si>
    <t>8 Задача</t>
  </si>
  <si>
    <t>Минимальная зп</t>
  </si>
  <si>
    <t>Стоимость наследства</t>
  </si>
  <si>
    <t>Сумма Налога</t>
  </si>
  <si>
    <t>9 Задача</t>
  </si>
  <si>
    <t>кол-во иждивенцев</t>
  </si>
  <si>
    <t>сумма дохода</t>
  </si>
  <si>
    <t>кол-во месяцев</t>
  </si>
  <si>
    <t>сумма вычетов</t>
  </si>
  <si>
    <t>категория льгот</t>
  </si>
  <si>
    <t>сумма льгот</t>
  </si>
  <si>
    <t>кол-во работников</t>
  </si>
  <si>
    <t>10 Задача</t>
  </si>
  <si>
    <t>Сумма покупки</t>
  </si>
  <si>
    <t>Имя</t>
  </si>
  <si>
    <t>Фамилия</t>
  </si>
  <si>
    <t>Сумма Скидки</t>
  </si>
  <si>
    <t>Кудлаш</t>
  </si>
  <si>
    <t>Иван</t>
  </si>
  <si>
    <t>Первоначальная величина скидки</t>
  </si>
  <si>
    <t>Сумма скидки</t>
  </si>
  <si>
    <t>11 Задача</t>
  </si>
  <si>
    <t>Виды Услуг</t>
  </si>
  <si>
    <t>Тариф(коп.)</t>
  </si>
  <si>
    <r>
      <t>1 м</t>
    </r>
    <r>
      <rPr>
        <sz val="12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жилой площади</t>
    </r>
  </si>
  <si>
    <t>Отопление на 1 м2</t>
  </si>
  <si>
    <t>Холодная вода на 1 человека</t>
  </si>
  <si>
    <t>Горячая вода на 1 человека</t>
  </si>
  <si>
    <t>Лифт на 1 человека</t>
  </si>
  <si>
    <t>Техобслуживание</t>
  </si>
  <si>
    <t>№ льготы</t>
  </si>
  <si>
    <t>Расчет</t>
  </si>
  <si>
    <t xml:space="preserve">Площадь </t>
  </si>
  <si>
    <t>Проживает</t>
  </si>
  <si>
    <t>Оплачено</t>
  </si>
  <si>
    <t>Долг</t>
  </si>
  <si>
    <t>12 Задача</t>
  </si>
  <si>
    <t>День</t>
  </si>
  <si>
    <t>Ночь</t>
  </si>
  <si>
    <t>Тариф</t>
  </si>
  <si>
    <t>Обычный</t>
  </si>
  <si>
    <t>Выходной</t>
  </si>
  <si>
    <t>с 6 до 18</t>
  </si>
  <si>
    <t>с 18 до 6</t>
  </si>
  <si>
    <t>на 5% меньше</t>
  </si>
  <si>
    <t>на 10% меньше</t>
  </si>
  <si>
    <t>на 15% меньше</t>
  </si>
  <si>
    <t>Дата</t>
  </si>
  <si>
    <t>Время начала</t>
  </si>
  <si>
    <t>Длительность</t>
  </si>
  <si>
    <t xml:space="preserve">Тип дня </t>
  </si>
  <si>
    <t>13 Задача</t>
  </si>
  <si>
    <t>Срок платежа</t>
  </si>
  <si>
    <t>Дата платежа</t>
  </si>
  <si>
    <t>Кол-во дней просрочки</t>
  </si>
  <si>
    <t>Сумма платежа</t>
  </si>
  <si>
    <t>Пеня</t>
  </si>
  <si>
    <t>14 Задача</t>
  </si>
  <si>
    <t>Текущая дата</t>
  </si>
  <si>
    <t>Мин. Зп</t>
  </si>
  <si>
    <t>Дата рождения</t>
  </si>
  <si>
    <t>Возраст</t>
  </si>
  <si>
    <t>Сумма</t>
  </si>
  <si>
    <t>15 Задача</t>
  </si>
  <si>
    <t>Просроченно</t>
  </si>
  <si>
    <t>16 Задача</t>
  </si>
  <si>
    <t>ФИО</t>
  </si>
  <si>
    <t>Д/Р</t>
  </si>
  <si>
    <t>Лет</t>
  </si>
  <si>
    <t>Родился в день недели</t>
  </si>
  <si>
    <t>Выбор</t>
  </si>
  <si>
    <t>Иванов</t>
  </si>
  <si>
    <t>Сидоров</t>
  </si>
  <si>
    <t>Николаев</t>
  </si>
  <si>
    <t>17 Задача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</si>
  <si>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</si>
  <si>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</si>
  <si>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</si>
  <si>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</si>
  <si>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</si>
  <si>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</si>
  <si>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</si>
  <si>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Первое</t>
  </si>
  <si>
    <t>Второе</t>
  </si>
  <si>
    <t>Третье</t>
  </si>
  <si>
    <t>Борщ</t>
  </si>
  <si>
    <t xml:space="preserve">Котлеты </t>
  </si>
  <si>
    <t>Уха</t>
  </si>
  <si>
    <t>Рыба</t>
  </si>
  <si>
    <t>Плов</t>
  </si>
  <si>
    <t>Каша</t>
  </si>
  <si>
    <t>Пюре</t>
  </si>
  <si>
    <t>18 Задача</t>
  </si>
  <si>
    <t>Сумма наследства</t>
  </si>
  <si>
    <t>Налог</t>
  </si>
  <si>
    <t>Категория Наследника(1/2/3)</t>
  </si>
  <si>
    <t>Мин. ЗП</t>
  </si>
  <si>
    <t>19 Задача</t>
  </si>
  <si>
    <t>Номер квартиры</t>
  </si>
  <si>
    <t>Первоначальная ставка</t>
  </si>
  <si>
    <t>20 Задача</t>
  </si>
  <si>
    <t>% премии</t>
  </si>
  <si>
    <t>Интервал</t>
  </si>
  <si>
    <t xml:space="preserve">от 0 до 5 лет </t>
  </si>
  <si>
    <t>от 5 до 10 лет</t>
  </si>
  <si>
    <t>от 10 до 15 лет</t>
  </si>
  <si>
    <t>от 15 до 25 лет</t>
  </si>
  <si>
    <t>свыше 25 лет</t>
  </si>
  <si>
    <t xml:space="preserve">Стаж </t>
  </si>
  <si>
    <t>Премия</t>
  </si>
  <si>
    <t>КИО</t>
  </si>
  <si>
    <t>ИЛЛ</t>
  </si>
  <si>
    <t>21 Задача</t>
  </si>
  <si>
    <t>Марка</t>
  </si>
  <si>
    <t>Номер</t>
  </si>
  <si>
    <t>Стоимость в выходной</t>
  </si>
  <si>
    <t>Стоимость за час</t>
  </si>
  <si>
    <t>Toyota</t>
  </si>
  <si>
    <t>BMW</t>
  </si>
  <si>
    <t>Ford</t>
  </si>
  <si>
    <t>Kia</t>
  </si>
  <si>
    <t>Audi</t>
  </si>
  <si>
    <t>Nissan</t>
  </si>
  <si>
    <t>Марка авто</t>
  </si>
  <si>
    <t>Время выдачи</t>
  </si>
  <si>
    <t>Время возврата</t>
  </si>
  <si>
    <t>Всего часов</t>
  </si>
  <si>
    <t>22 Задача</t>
  </si>
  <si>
    <t>Код</t>
  </si>
  <si>
    <t>Стоимость проката в сутки(до 30)</t>
  </si>
  <si>
    <t>Стоимость проката в сутки(свыше 30)</t>
  </si>
  <si>
    <t xml:space="preserve">Код предмета </t>
  </si>
  <si>
    <t>Название</t>
  </si>
  <si>
    <t xml:space="preserve">Стоимость </t>
  </si>
  <si>
    <t xml:space="preserve">С </t>
  </si>
  <si>
    <t>До</t>
  </si>
  <si>
    <t>Лошица</t>
  </si>
  <si>
    <t>Чижовка</t>
  </si>
  <si>
    <t>Малиновка</t>
  </si>
  <si>
    <t>Барановичи</t>
  </si>
  <si>
    <t>Казинца</t>
  </si>
  <si>
    <t>23 Задача</t>
  </si>
  <si>
    <t>Дата регистрации</t>
  </si>
  <si>
    <t>Адрес</t>
  </si>
  <si>
    <t>Номер телефона</t>
  </si>
  <si>
    <t>Директор</t>
  </si>
  <si>
    <t xml:space="preserve">Название </t>
  </si>
  <si>
    <t>Телефон</t>
  </si>
  <si>
    <t>Дата Регистрации</t>
  </si>
  <si>
    <t>Срок</t>
  </si>
  <si>
    <t xml:space="preserve">Samsung </t>
  </si>
  <si>
    <t xml:space="preserve">Apple </t>
  </si>
  <si>
    <t>DVN</t>
  </si>
  <si>
    <t>Valve</t>
  </si>
  <si>
    <t>Sony</t>
  </si>
  <si>
    <t>Google</t>
  </si>
  <si>
    <t>ул. Ленина, д. 12, кв. 45</t>
  </si>
  <si>
    <t>пр-т Мира, д. 7, кв. 102</t>
  </si>
  <si>
    <t>ул. Садовая, д. 24</t>
  </si>
  <si>
    <t>ул. Новая, д. 3, корп. 1, кв. 18</t>
  </si>
  <si>
    <t>ул. Березовая, д. 56</t>
  </si>
  <si>
    <t>Набережная ул., д. 11, кв. 89</t>
  </si>
  <si>
    <t>+375 (29) 124-58-96</t>
  </si>
  <si>
    <t>+375 (33) 482-15-70</t>
  </si>
  <si>
    <t>+375 (44) 639-20-41</t>
  </si>
  <si>
    <t>+375 (25) 901-34-82</t>
  </si>
  <si>
    <t>+375 (29) 555-02-18</t>
  </si>
  <si>
    <t>+375 (33) 714-93-66</t>
  </si>
  <si>
    <t>Александр</t>
  </si>
  <si>
    <t>Екатерина</t>
  </si>
  <si>
    <t>Дмитрий</t>
  </si>
  <si>
    <t>Мария</t>
  </si>
  <si>
    <t>Артем</t>
  </si>
  <si>
    <t>Ольга</t>
  </si>
  <si>
    <t>24 Задача</t>
  </si>
  <si>
    <t>Таб. Номер</t>
  </si>
  <si>
    <t>Петров</t>
  </si>
  <si>
    <t>Смирнов</t>
  </si>
  <si>
    <t>Кузнецов</t>
  </si>
  <si>
    <t>Волков</t>
  </si>
  <si>
    <t>Лебедев</t>
  </si>
  <si>
    <t>Попов</t>
  </si>
  <si>
    <t>Козлов</t>
  </si>
  <si>
    <t>25 Задача</t>
  </si>
  <si>
    <t>Норма часов</t>
  </si>
  <si>
    <t>Тариф за час</t>
  </si>
  <si>
    <t>КОЧ</t>
  </si>
  <si>
    <t>ЗП</t>
  </si>
  <si>
    <t>26 Задача</t>
  </si>
  <si>
    <t>27 Задача</t>
  </si>
  <si>
    <t>Розничная цена</t>
  </si>
  <si>
    <t>Мелкоопт</t>
  </si>
  <si>
    <t>Оптовая</t>
  </si>
  <si>
    <t>Объем</t>
  </si>
  <si>
    <t>Молоко</t>
  </si>
  <si>
    <t xml:space="preserve">Батон </t>
  </si>
  <si>
    <t>Авианосец</t>
  </si>
  <si>
    <t>28 Задача</t>
  </si>
  <si>
    <t>Пол</t>
  </si>
  <si>
    <t>Возраст выхода на пенсию: муж.</t>
  </si>
  <si>
    <t>жен.</t>
  </si>
  <si>
    <t>До пенсии осталось:</t>
  </si>
  <si>
    <t>муж</t>
  </si>
  <si>
    <t>29 Задача</t>
  </si>
  <si>
    <t>Евро</t>
  </si>
  <si>
    <t xml:space="preserve">Доллар </t>
  </si>
  <si>
    <t>Рубль</t>
  </si>
  <si>
    <t>Отличие евро</t>
  </si>
  <si>
    <t>Отличие доллара</t>
  </si>
  <si>
    <t>Принят</t>
  </si>
  <si>
    <t>Уволен</t>
  </si>
  <si>
    <t>Полных лет</t>
  </si>
  <si>
    <t>Месяцев</t>
  </si>
  <si>
    <t>Дней</t>
  </si>
  <si>
    <t>Новые записи вставлять перед этой строкой, сняв защиту с листа</t>
  </si>
  <si>
    <t>Всего</t>
  </si>
  <si>
    <t>Полных</t>
  </si>
  <si>
    <t>Максимальный непрерывный стаж</t>
  </si>
  <si>
    <t>лет</t>
  </si>
  <si>
    <t>32 Задача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</si>
</sst>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6" formatCode="dddd"/>
    <numFmt numFmtId="171" formatCode="0.0%"/>
    <numFmt numFmtId="172" formatCode="dd/mm/yy\ h:mm;@"/>
    <numFmt numFmtId="173" formatCode="[h]:mm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0A0A0A"/>
      <name val="Arial Unicode MS"/>
      <family val="2"/>
      <charset val="204"/>
    </font>
    <font>
      <sz val="11"/>
      <color rgb="FF0A0A0A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Fill="1" applyBorder="1"/>
    <xf numFmtId="0" fontId="0" fillId="0" borderId="5" xfId="0" applyNumberFormat="1" applyBorder="1"/>
    <xf numFmtId="0" fontId="0" fillId="0" borderId="12" xfId="0" applyBorder="1"/>
    <xf numFmtId="0" fontId="0" fillId="0" borderId="13" xfId="0" applyBorder="1"/>
    <xf numFmtId="14" fontId="0" fillId="0" borderId="12" xfId="0" applyNumberFormat="1" applyBorder="1"/>
    <xf numFmtId="164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3" xfId="0" applyNumberFormat="1" applyBorder="1"/>
    <xf numFmtId="14" fontId="0" fillId="0" borderId="6" xfId="0" applyNumberFormat="1" applyBorder="1"/>
    <xf numFmtId="0" fontId="0" fillId="0" borderId="18" xfId="0" applyBorder="1"/>
    <xf numFmtId="0" fontId="0" fillId="0" borderId="19" xfId="0" applyBorder="1"/>
    <xf numFmtId="14" fontId="0" fillId="0" borderId="13" xfId="0" applyNumberFormat="1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5" xfId="0" applyNumberFormat="1" applyBorder="1"/>
    <xf numFmtId="0" fontId="0" fillId="0" borderId="1" xfId="0" applyFill="1" applyBorder="1"/>
    <xf numFmtId="10" fontId="0" fillId="0" borderId="7" xfId="0" applyNumberFormat="1" applyBorder="1"/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center"/>
    </xf>
    <xf numFmtId="10" fontId="0" fillId="0" borderId="14" xfId="0" applyNumberFormat="1" applyBorder="1"/>
    <xf numFmtId="10" fontId="0" fillId="0" borderId="15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0" fontId="0" fillId="0" borderId="24" xfId="0" applyBorder="1"/>
    <xf numFmtId="14" fontId="0" fillId="0" borderId="19" xfId="0" applyNumberFormat="1" applyBorder="1"/>
    <xf numFmtId="20" fontId="0" fillId="0" borderId="15" xfId="0" applyNumberFormat="1" applyBorder="1"/>
    <xf numFmtId="14" fontId="0" fillId="0" borderId="25" xfId="0" applyNumberFormat="1" applyBorder="1"/>
    <xf numFmtId="14" fontId="0" fillId="0" borderId="26" xfId="0" applyNumberFormat="1" applyBorder="1"/>
    <xf numFmtId="0" fontId="0" fillId="0" borderId="12" xfId="0" applyNumberFormat="1" applyBorder="1"/>
    <xf numFmtId="1" fontId="0" fillId="0" borderId="12" xfId="0" applyNumberForma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66" fontId="0" fillId="0" borderId="12" xfId="0" applyNumberFormat="1" applyBorder="1"/>
    <xf numFmtId="0" fontId="3" fillId="0" borderId="0" xfId="0" applyFont="1" applyBorder="1" applyAlignment="1">
      <alignment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Fill="1" applyBorder="1"/>
    <xf numFmtId="171" fontId="0" fillId="0" borderId="12" xfId="0" applyNumberFormat="1" applyBorder="1"/>
    <xf numFmtId="172" fontId="0" fillId="0" borderId="12" xfId="0" applyNumberFormat="1" applyBorder="1"/>
    <xf numFmtId="2" fontId="0" fillId="0" borderId="12" xfId="0" applyNumberFormat="1" applyBorder="1"/>
    <xf numFmtId="173" fontId="0" fillId="0" borderId="12" xfId="0" applyNumberForma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4" fontId="0" fillId="0" borderId="15" xfId="0" applyNumberForma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14" fontId="0" fillId="0" borderId="24" xfId="0" applyNumberFormat="1" applyBorder="1"/>
    <xf numFmtId="49" fontId="0" fillId="0" borderId="12" xfId="0" applyNumberFormat="1" applyBorder="1"/>
    <xf numFmtId="49" fontId="0" fillId="0" borderId="24" xfId="0" applyNumberFormat="1" applyBorder="1"/>
    <xf numFmtId="49" fontId="0" fillId="0" borderId="44" xfId="0" applyNumberFormat="1" applyBorder="1"/>
    <xf numFmtId="49" fontId="0" fillId="0" borderId="45" xfId="0" applyNumberFormat="1" applyBorder="1"/>
    <xf numFmtId="49" fontId="0" fillId="0" borderId="38" xfId="0" applyNumberFormat="1" applyBorder="1"/>
    <xf numFmtId="14" fontId="0" fillId="0" borderId="39" xfId="0" applyNumberFormat="1" applyBorder="1"/>
    <xf numFmtId="0" fontId="0" fillId="0" borderId="29" xfId="0" applyNumberFormat="1" applyBorder="1"/>
    <xf numFmtId="49" fontId="0" fillId="0" borderId="0" xfId="0" applyNumberFormat="1" applyBorder="1"/>
    <xf numFmtId="1" fontId="0" fillId="0" borderId="46" xfId="0" applyNumberFormat="1" applyBorder="1"/>
    <xf numFmtId="1" fontId="0" fillId="0" borderId="21" xfId="0" applyNumberFormat="1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9" xfId="0" applyNumberFormat="1" applyBorder="1"/>
    <xf numFmtId="0" fontId="4" fillId="0" borderId="11" xfId="0" applyFont="1" applyBorder="1"/>
    <xf numFmtId="0" fontId="0" fillId="0" borderId="14" xfId="0" applyBorder="1" applyAlignment="1">
      <alignment horizontal="left" indent="19"/>
    </xf>
    <xf numFmtId="0" fontId="0" fillId="0" borderId="14" xfId="0" applyFill="1" applyBorder="1"/>
    <xf numFmtId="2" fontId="0" fillId="0" borderId="15" xfId="0" applyNumberFormat="1" applyBorder="1"/>
    <xf numFmtId="14" fontId="0" fillId="0" borderId="14" xfId="0" applyNumberFormat="1" applyBorder="1"/>
    <xf numFmtId="0" fontId="0" fillId="0" borderId="10" xfId="0" applyBorder="1" applyAlignment="1">
      <alignment horizontal="center"/>
    </xf>
  </cellXfs>
  <cellStyles count="1">
    <cellStyle name="Обычный" xfId="0" builtinId="0"/>
  </cellStyles>
  <dxfs count="2">
    <dxf>
      <font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8"/>
  <sheetViews>
    <sheetView tabSelected="1" topLeftCell="A269" workbookViewId="0">
      <selection activeCell="D291" sqref="D291"/>
    </sheetView>
  </sheetViews>
  <sheetFormatPr defaultRowHeight="15" x14ac:dyDescent="0.25"/>
  <cols>
    <col min="1" max="1" width="33.7109375" customWidth="1"/>
    <col min="2" max="2" width="23.85546875" customWidth="1"/>
    <col min="3" max="3" width="31" customWidth="1"/>
    <col min="4" max="4" width="35.140625" customWidth="1"/>
    <col min="5" max="5" width="22.42578125" customWidth="1"/>
    <col min="6" max="6" width="18.140625" customWidth="1"/>
    <col min="7" max="7" width="15" customWidth="1"/>
    <col min="8" max="8" width="14.42578125" customWidth="1"/>
    <col min="9" max="9" width="11" customWidth="1"/>
    <col min="11" max="11" width="12.5703125" customWidth="1"/>
    <col min="13" max="13" width="11.85546875" customWidth="1"/>
  </cols>
  <sheetData>
    <row r="1" spans="1:15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/>
      <c r="G1" s="12" t="s">
        <v>0</v>
      </c>
      <c r="H1" s="13" t="s">
        <v>1</v>
      </c>
      <c r="I1" s="13" t="s">
        <v>3</v>
      </c>
      <c r="J1" s="13" t="s">
        <v>10</v>
      </c>
      <c r="K1" s="14" t="s">
        <v>7</v>
      </c>
      <c r="L1" s="2"/>
      <c r="M1" s="17" t="s">
        <v>7</v>
      </c>
      <c r="N1" s="17">
        <f>SUM(K2:K4)</f>
        <v>7660</v>
      </c>
      <c r="O1" s="3"/>
    </row>
    <row r="2" spans="1:15" ht="15.75" thickBot="1" x14ac:dyDescent="0.3">
      <c r="A2" s="4">
        <v>1</v>
      </c>
      <c r="B2" s="5" t="s">
        <v>4</v>
      </c>
      <c r="C2" s="6">
        <v>36908</v>
      </c>
      <c r="D2" s="7">
        <v>22</v>
      </c>
      <c r="E2" s="8"/>
      <c r="G2" s="4">
        <v>1</v>
      </c>
      <c r="H2" s="5" t="s">
        <v>11</v>
      </c>
      <c r="I2" s="15">
        <v>25</v>
      </c>
      <c r="J2" s="5">
        <v>100</v>
      </c>
      <c r="K2" s="7">
        <f>J2*I2</f>
        <v>2500</v>
      </c>
      <c r="L2" s="10"/>
      <c r="M2" s="16" t="s">
        <v>14</v>
      </c>
      <c r="N2" s="16">
        <f>IF(N1&gt;7000, 0.05,IF(N1&gt;10000,0.1,0))</f>
        <v>0.05</v>
      </c>
      <c r="O2" s="8"/>
    </row>
    <row r="3" spans="1:15" ht="15.75" thickBot="1" x14ac:dyDescent="0.3">
      <c r="A3" s="9"/>
      <c r="B3" s="10"/>
      <c r="C3" s="10"/>
      <c r="D3" s="10"/>
      <c r="E3" s="8"/>
      <c r="G3" s="12">
        <v>2</v>
      </c>
      <c r="H3" s="13" t="s">
        <v>12</v>
      </c>
      <c r="I3" s="13">
        <v>27</v>
      </c>
      <c r="J3" s="13">
        <v>80</v>
      </c>
      <c r="K3" s="7">
        <f t="shared" ref="K3:K4" si="0">J3*I3</f>
        <v>2160</v>
      </c>
      <c r="L3" s="10"/>
      <c r="M3" s="16" t="s">
        <v>15</v>
      </c>
      <c r="N3" s="16">
        <f>N1-N1*N2</f>
        <v>7277</v>
      </c>
      <c r="O3" s="8"/>
    </row>
    <row r="4" spans="1:15" ht="15.75" thickBot="1" x14ac:dyDescent="0.3">
      <c r="A4" s="9" t="s">
        <v>5</v>
      </c>
      <c r="B4" s="10" t="s">
        <v>6</v>
      </c>
      <c r="C4" s="10" t="s">
        <v>3</v>
      </c>
      <c r="D4" s="10" t="s">
        <v>7</v>
      </c>
      <c r="E4" s="8"/>
      <c r="G4" s="4">
        <v>3</v>
      </c>
      <c r="H4" s="5" t="s">
        <v>13</v>
      </c>
      <c r="I4" s="5">
        <v>20</v>
      </c>
      <c r="J4" s="5">
        <v>150</v>
      </c>
      <c r="K4" s="7">
        <f t="shared" si="0"/>
        <v>3000</v>
      </c>
      <c r="L4" s="10"/>
      <c r="M4" s="10"/>
      <c r="N4" s="10"/>
      <c r="O4" s="8"/>
    </row>
    <row r="5" spans="1:15" x14ac:dyDescent="0.25">
      <c r="A5" s="11">
        <v>36908</v>
      </c>
      <c r="B5" s="10">
        <v>55</v>
      </c>
      <c r="C5" s="10">
        <f>IF(A5-C2&lt;=2,D2,IF(A5-C2&lt;=4,D2*0.6,D2*0.4))</f>
        <v>22</v>
      </c>
      <c r="D5" s="10">
        <f>C5*B5</f>
        <v>1210</v>
      </c>
      <c r="E5" s="8"/>
      <c r="G5" s="9"/>
      <c r="H5" s="10"/>
      <c r="I5" s="10"/>
      <c r="J5" s="10"/>
      <c r="K5" s="10"/>
      <c r="L5" s="10"/>
      <c r="M5" s="10"/>
      <c r="N5" s="10"/>
      <c r="O5" s="8"/>
    </row>
    <row r="6" spans="1:15" x14ac:dyDescent="0.25">
      <c r="A6" s="11">
        <v>36909</v>
      </c>
      <c r="B6" s="10">
        <v>60</v>
      </c>
      <c r="C6" s="10">
        <f>IF(A6-C2&lt;=2,D2,IF(A6-C2&lt;=4,D2*0.6,D2*0.4))</f>
        <v>22</v>
      </c>
      <c r="D6" s="10">
        <f t="shared" ref="D6:D9" si="1">C6*B6</f>
        <v>1320</v>
      </c>
      <c r="E6" s="8"/>
      <c r="G6" s="9"/>
      <c r="H6" s="10"/>
      <c r="I6" s="10"/>
      <c r="J6" s="16" t="s">
        <v>8</v>
      </c>
      <c r="K6" s="16">
        <f>N1</f>
        <v>7660</v>
      </c>
      <c r="L6" s="10"/>
      <c r="M6" s="10"/>
      <c r="N6" s="10"/>
      <c r="O6" s="8"/>
    </row>
    <row r="7" spans="1:15" x14ac:dyDescent="0.25">
      <c r="A7" s="11">
        <v>36910</v>
      </c>
      <c r="B7" s="10">
        <v>45</v>
      </c>
      <c r="C7" s="10">
        <f>IF(A7-C2&lt;=2,D2,IF(A7-C2&lt;=4,D2*0.6,D2*0.4))</f>
        <v>22</v>
      </c>
      <c r="D7" s="10">
        <f t="shared" si="1"/>
        <v>990</v>
      </c>
      <c r="E7" s="8"/>
      <c r="G7" s="9"/>
      <c r="H7" s="10"/>
      <c r="I7" s="10"/>
      <c r="J7" s="10"/>
      <c r="K7" s="10"/>
      <c r="L7" s="10"/>
      <c r="M7" s="10"/>
      <c r="N7" s="10"/>
      <c r="O7" s="8"/>
    </row>
    <row r="8" spans="1:15" ht="15.75" thickBot="1" x14ac:dyDescent="0.3">
      <c r="A8" s="11">
        <v>36911</v>
      </c>
      <c r="B8" s="10">
        <v>40</v>
      </c>
      <c r="C8" s="10">
        <f>IF(A8-C2&lt;=2,D2,IF(A8-C2&lt;=4,D2*0.6,D2*0.4))</f>
        <v>13.2</v>
      </c>
      <c r="D8" s="10">
        <f t="shared" si="1"/>
        <v>528</v>
      </c>
      <c r="E8" s="8"/>
      <c r="G8" s="30" t="s">
        <v>16</v>
      </c>
      <c r="H8" s="31"/>
      <c r="I8" s="31"/>
      <c r="J8" s="31"/>
      <c r="K8" s="31"/>
      <c r="L8" s="31"/>
      <c r="M8" s="31"/>
      <c r="N8" s="31"/>
      <c r="O8" s="32"/>
    </row>
    <row r="9" spans="1:15" x14ac:dyDescent="0.25">
      <c r="A9" s="11">
        <v>36912</v>
      </c>
      <c r="B9" s="10">
        <v>30</v>
      </c>
      <c r="C9" s="10">
        <f>IF(A9-C2&lt;=2,D2,IF(A9-C2&lt;4,D2*0.6,D2*0.4))</f>
        <v>8.8000000000000007</v>
      </c>
      <c r="D9" s="10">
        <f t="shared" si="1"/>
        <v>264</v>
      </c>
      <c r="E9" s="8"/>
    </row>
    <row r="10" spans="1:15" x14ac:dyDescent="0.25">
      <c r="A10" s="9" t="s">
        <v>8</v>
      </c>
      <c r="B10" s="10">
        <f>SUM(B5:B9)</f>
        <v>230</v>
      </c>
      <c r="C10" s="10">
        <f t="shared" ref="C10:D10" si="2">SUM(C5:C9)</f>
        <v>88</v>
      </c>
      <c r="D10" s="10">
        <f t="shared" si="2"/>
        <v>4312</v>
      </c>
      <c r="E10" s="8"/>
    </row>
    <row r="11" spans="1:15" x14ac:dyDescent="0.25">
      <c r="A11" s="9"/>
      <c r="B11" s="10"/>
      <c r="C11" s="10"/>
      <c r="D11" s="10"/>
      <c r="E11" s="8"/>
    </row>
    <row r="12" spans="1:15" ht="15.75" thickBot="1" x14ac:dyDescent="0.3">
      <c r="A12" s="9"/>
      <c r="B12" s="10"/>
      <c r="C12" s="10"/>
      <c r="D12" s="10"/>
      <c r="E12" s="8"/>
    </row>
    <row r="13" spans="1:15" ht="15.75" thickBot="1" x14ac:dyDescent="0.3">
      <c r="A13" s="34" t="s">
        <v>9</v>
      </c>
      <c r="B13" s="35"/>
      <c r="C13" s="35"/>
      <c r="D13" s="35"/>
      <c r="E13" s="36"/>
      <c r="H13" s="1"/>
      <c r="I13" s="2"/>
      <c r="J13" s="2"/>
      <c r="K13" s="2"/>
      <c r="L13" s="2"/>
      <c r="M13" s="3"/>
    </row>
    <row r="14" spans="1:15" x14ac:dyDescent="0.25">
      <c r="A14" s="1"/>
      <c r="B14" s="2"/>
      <c r="C14" s="2"/>
      <c r="D14" s="2"/>
      <c r="E14" s="2"/>
      <c r="F14" s="3"/>
      <c r="H14" s="1" t="s">
        <v>22</v>
      </c>
      <c r="I14" s="24">
        <v>46093</v>
      </c>
      <c r="J14" s="10"/>
      <c r="K14" s="1" t="s">
        <v>24</v>
      </c>
      <c r="L14" s="22">
        <f>I15-I14</f>
        <v>5</v>
      </c>
      <c r="M14" s="3" t="s">
        <v>25</v>
      </c>
    </row>
    <row r="15" spans="1:15" ht="15.75" thickBot="1" x14ac:dyDescent="0.3">
      <c r="A15" s="20" t="s">
        <v>0</v>
      </c>
      <c r="B15" s="16" t="s">
        <v>17</v>
      </c>
      <c r="C15" s="16" t="s">
        <v>18</v>
      </c>
      <c r="D15" s="16" t="s">
        <v>19</v>
      </c>
      <c r="E15" s="16" t="s">
        <v>20</v>
      </c>
      <c r="F15" s="21" t="s">
        <v>8</v>
      </c>
      <c r="H15" s="4" t="s">
        <v>23</v>
      </c>
      <c r="I15" s="25">
        <v>46098</v>
      </c>
      <c r="J15" s="10"/>
      <c r="K15" s="4" t="s">
        <v>15</v>
      </c>
      <c r="L15" s="23">
        <f>IF(L14&lt;2,45*L14,IF(L14&lt;7,40*L14,35*L14))</f>
        <v>200</v>
      </c>
      <c r="M15" s="7"/>
    </row>
    <row r="16" spans="1:15" x14ac:dyDescent="0.25">
      <c r="A16" s="20">
        <v>1</v>
      </c>
      <c r="B16" s="18">
        <v>28611</v>
      </c>
      <c r="C16" s="19">
        <f ca="1">(TODAY()-B16)/365</f>
        <v>47.917808219178085</v>
      </c>
      <c r="D16" s="16">
        <v>1000</v>
      </c>
      <c r="E16" s="16">
        <f ca="1">IF(C16&gt;15,0.15,IF(C16&gt;25,0.3,0))</f>
        <v>0.15</v>
      </c>
      <c r="F16" s="21">
        <f ca="1">D16+D16*E16</f>
        <v>1150</v>
      </c>
      <c r="H16" s="9"/>
      <c r="I16" s="10"/>
      <c r="J16" s="10"/>
      <c r="K16" s="10"/>
      <c r="L16" s="10"/>
      <c r="M16" s="8"/>
    </row>
    <row r="17" spans="1:13" x14ac:dyDescent="0.25">
      <c r="A17" s="20">
        <v>2</v>
      </c>
      <c r="B17" s="18">
        <v>32662</v>
      </c>
      <c r="C17" s="19">
        <f t="shared" ref="C17:C18" ca="1" si="3">(TODAY()-B17)/365</f>
        <v>36.819178082191783</v>
      </c>
      <c r="D17" s="16">
        <v>1000</v>
      </c>
      <c r="E17" s="16">
        <f t="shared" ref="E17:E18" ca="1" si="4">IF(C17&gt;15,0.15,IF(C17&gt;25,0.3,0))</f>
        <v>0.15</v>
      </c>
      <c r="F17" s="21">
        <f t="shared" ref="F17:F18" ca="1" si="5">D17+D17*E17</f>
        <v>1150</v>
      </c>
      <c r="H17" s="9"/>
      <c r="I17" s="10"/>
      <c r="J17" s="10"/>
      <c r="K17" s="10"/>
      <c r="L17" s="10"/>
      <c r="M17" s="8"/>
    </row>
    <row r="18" spans="1:13" ht="15.75" thickBot="1" x14ac:dyDescent="0.3">
      <c r="A18" s="20">
        <v>3</v>
      </c>
      <c r="B18" s="18">
        <v>24019</v>
      </c>
      <c r="C18" s="19">
        <f t="shared" ca="1" si="3"/>
        <v>60.4986301369863</v>
      </c>
      <c r="D18" s="16">
        <v>1000</v>
      </c>
      <c r="E18" s="16">
        <f t="shared" ca="1" si="4"/>
        <v>0.15</v>
      </c>
      <c r="F18" s="21">
        <f t="shared" ca="1" si="5"/>
        <v>1150</v>
      </c>
      <c r="H18" s="30" t="s">
        <v>26</v>
      </c>
      <c r="I18" s="31"/>
      <c r="J18" s="31"/>
      <c r="K18" s="31"/>
      <c r="L18" s="31"/>
      <c r="M18" s="32"/>
    </row>
    <row r="19" spans="1:13" x14ac:dyDescent="0.25">
      <c r="A19" s="9"/>
      <c r="B19" s="10"/>
      <c r="C19" s="10"/>
      <c r="D19" s="10"/>
      <c r="E19" s="10"/>
      <c r="F19" s="8"/>
    </row>
    <row r="20" spans="1:13" ht="15.75" thickBot="1" x14ac:dyDescent="0.3">
      <c r="A20" s="9"/>
      <c r="B20" s="10"/>
      <c r="C20" s="16" t="s">
        <v>8</v>
      </c>
      <c r="D20" s="16">
        <f>SUM(D16:D18)</f>
        <v>3000</v>
      </c>
      <c r="E20" s="16">
        <f t="shared" ref="E20:F20" ca="1" si="6">SUM(E16:E18)</f>
        <v>0.44999999999999996</v>
      </c>
      <c r="F20" s="21">
        <f t="shared" ca="1" si="6"/>
        <v>3450</v>
      </c>
    </row>
    <row r="21" spans="1:13" x14ac:dyDescent="0.25">
      <c r="A21" s="9"/>
      <c r="B21" s="10"/>
      <c r="C21" s="10"/>
      <c r="D21" s="10"/>
      <c r="E21" s="10"/>
      <c r="F21" s="8"/>
      <c r="H21" s="26" t="s">
        <v>27</v>
      </c>
      <c r="I21" s="17">
        <v>4</v>
      </c>
      <c r="J21" s="2"/>
      <c r="K21" s="17" t="s">
        <v>29</v>
      </c>
      <c r="L21" s="27">
        <f>IF(I21&lt;5,1,IF(I21&lt;10,0.9,0.8))</f>
        <v>1</v>
      </c>
    </row>
    <row r="22" spans="1:13" x14ac:dyDescent="0.25">
      <c r="A22" s="9"/>
      <c r="B22" s="10"/>
      <c r="C22" s="10"/>
      <c r="D22" s="10"/>
      <c r="E22" s="10"/>
      <c r="F22" s="8"/>
      <c r="H22" s="20" t="s">
        <v>28</v>
      </c>
      <c r="I22" s="16">
        <v>1500</v>
      </c>
      <c r="J22" s="10"/>
      <c r="K22" s="16" t="s">
        <v>15</v>
      </c>
      <c r="L22" s="21">
        <f>IF(I22&lt;1000,3,IF(I22&lt;2000,2.5,2))*L21*1000</f>
        <v>2500</v>
      </c>
    </row>
    <row r="23" spans="1:13" ht="15.75" thickBot="1" x14ac:dyDescent="0.3">
      <c r="A23" s="30" t="s">
        <v>21</v>
      </c>
      <c r="B23" s="31"/>
      <c r="C23" s="31"/>
      <c r="D23" s="31"/>
      <c r="E23" s="31"/>
      <c r="F23" s="32"/>
      <c r="H23" s="9"/>
      <c r="I23" s="10"/>
      <c r="J23" s="10"/>
      <c r="K23" s="10"/>
      <c r="L23" s="8"/>
    </row>
    <row r="24" spans="1:13" ht="15.75" thickBot="1" x14ac:dyDescent="0.3">
      <c r="H24" s="34" t="s">
        <v>30</v>
      </c>
      <c r="I24" s="31"/>
      <c r="J24" s="31"/>
      <c r="K24" s="31"/>
      <c r="L24" s="32"/>
    </row>
    <row r="25" spans="1:13" x14ac:dyDescent="0.25">
      <c r="A25" s="1"/>
      <c r="B25" s="2"/>
      <c r="C25" s="2"/>
      <c r="D25" s="2"/>
      <c r="E25" s="2"/>
      <c r="F25" s="2"/>
      <c r="G25" s="2"/>
      <c r="H25" s="3"/>
    </row>
    <row r="26" spans="1:13" x14ac:dyDescent="0.25">
      <c r="A26" s="20" t="s">
        <v>31</v>
      </c>
      <c r="B26" s="16">
        <v>2</v>
      </c>
      <c r="C26" s="10"/>
      <c r="D26" s="29" t="s">
        <v>39</v>
      </c>
      <c r="E26" s="29"/>
      <c r="F26" s="10"/>
      <c r="G26" s="29" t="s">
        <v>40</v>
      </c>
      <c r="H26" s="38"/>
    </row>
    <row r="27" spans="1:13" x14ac:dyDescent="0.25">
      <c r="A27" s="37" t="s">
        <v>32</v>
      </c>
      <c r="B27" s="29"/>
      <c r="C27" s="10"/>
      <c r="D27" s="16">
        <v>76</v>
      </c>
      <c r="E27" s="16">
        <v>95</v>
      </c>
      <c r="F27" s="10"/>
      <c r="G27" s="16" t="s">
        <v>41</v>
      </c>
      <c r="H27" s="21" t="s">
        <v>42</v>
      </c>
    </row>
    <row r="28" spans="1:13" x14ac:dyDescent="0.25">
      <c r="A28" s="20" t="s">
        <v>33</v>
      </c>
      <c r="B28" s="16">
        <v>3000</v>
      </c>
      <c r="C28" s="10"/>
      <c r="D28" s="16">
        <v>3.2</v>
      </c>
      <c r="E28" s="16">
        <v>3.5</v>
      </c>
      <c r="F28" s="10"/>
      <c r="G28" s="16">
        <v>10</v>
      </c>
      <c r="H28" s="21">
        <v>8</v>
      </c>
    </row>
    <row r="29" spans="1:13" x14ac:dyDescent="0.25">
      <c r="A29" s="20" t="s">
        <v>34</v>
      </c>
      <c r="B29" s="16">
        <v>3175</v>
      </c>
      <c r="C29" s="10"/>
      <c r="D29" s="10"/>
      <c r="E29" s="10"/>
      <c r="F29" s="10"/>
      <c r="G29" s="10"/>
      <c r="H29" s="8"/>
    </row>
    <row r="30" spans="1:13" x14ac:dyDescent="0.25">
      <c r="A30" s="20" t="s">
        <v>28</v>
      </c>
      <c r="B30" s="16">
        <v>1000</v>
      </c>
      <c r="C30" s="10"/>
      <c r="D30" s="10"/>
      <c r="E30" s="10"/>
      <c r="F30" s="10"/>
      <c r="G30" s="10"/>
      <c r="H30" s="8"/>
    </row>
    <row r="31" spans="1:13" x14ac:dyDescent="0.25">
      <c r="A31" s="20" t="s">
        <v>35</v>
      </c>
      <c r="B31" s="16">
        <v>95</v>
      </c>
      <c r="C31" s="10"/>
      <c r="D31" s="10"/>
      <c r="E31" s="10"/>
      <c r="F31" s="10"/>
      <c r="G31" s="10"/>
      <c r="H31" s="8"/>
    </row>
    <row r="32" spans="1:13" x14ac:dyDescent="0.25">
      <c r="A32" s="20" t="s">
        <v>36</v>
      </c>
      <c r="B32" s="16">
        <f>IF(B31=E27,E28,D28)</f>
        <v>3.5</v>
      </c>
      <c r="C32" s="10"/>
      <c r="D32" s="10"/>
      <c r="E32" s="10"/>
      <c r="F32" s="10"/>
      <c r="G32" s="10"/>
      <c r="H32" s="8"/>
    </row>
    <row r="33" spans="1:8" x14ac:dyDescent="0.25">
      <c r="A33" s="20" t="s">
        <v>37</v>
      </c>
      <c r="B33" s="16">
        <f>IF(B26=1,B30/G28,B30/H28)</f>
        <v>125</v>
      </c>
      <c r="C33" s="10"/>
      <c r="D33" s="10"/>
      <c r="E33" s="10"/>
      <c r="F33" s="10"/>
      <c r="G33" s="10"/>
      <c r="H33" s="8"/>
    </row>
    <row r="34" spans="1:8" x14ac:dyDescent="0.25">
      <c r="A34" s="20" t="s">
        <v>38</v>
      </c>
      <c r="B34" s="16">
        <f>B33*B32</f>
        <v>437.5</v>
      </c>
      <c r="C34" s="10"/>
      <c r="D34" s="10"/>
      <c r="E34" s="10"/>
      <c r="F34" s="10"/>
      <c r="G34" s="10"/>
      <c r="H34" s="8"/>
    </row>
    <row r="35" spans="1:8" ht="15.75" thickBot="1" x14ac:dyDescent="0.3">
      <c r="A35" s="30" t="s">
        <v>43</v>
      </c>
      <c r="B35" s="31"/>
      <c r="C35" s="31"/>
      <c r="D35" s="31"/>
      <c r="E35" s="31"/>
      <c r="F35" s="31"/>
      <c r="G35" s="31"/>
      <c r="H35" s="32"/>
    </row>
    <row r="36" spans="1:8" ht="15.75" thickBot="1" x14ac:dyDescent="0.3"/>
    <row r="37" spans="1:8" x14ac:dyDescent="0.25">
      <c r="A37" s="26" t="s">
        <v>2</v>
      </c>
      <c r="B37" s="28">
        <v>41022</v>
      </c>
      <c r="C37" s="2"/>
      <c r="D37" s="17" t="s">
        <v>50</v>
      </c>
      <c r="E37" s="17">
        <v>24</v>
      </c>
      <c r="F37" s="3"/>
    </row>
    <row r="38" spans="1:8" x14ac:dyDescent="0.25">
      <c r="A38" s="20" t="s">
        <v>18</v>
      </c>
      <c r="B38" s="19">
        <f ca="1">(TODAY()-B37)/365</f>
        <v>13.915068493150685</v>
      </c>
      <c r="C38" s="10"/>
      <c r="D38" s="16" t="s">
        <v>51</v>
      </c>
      <c r="E38" s="16">
        <v>15</v>
      </c>
      <c r="F38" s="8"/>
    </row>
    <row r="39" spans="1:8" x14ac:dyDescent="0.25">
      <c r="A39" s="9"/>
      <c r="B39" s="10"/>
      <c r="C39" s="10"/>
      <c r="D39" s="16" t="s">
        <v>52</v>
      </c>
      <c r="E39" s="16">
        <f>E37-E38</f>
        <v>9</v>
      </c>
      <c r="F39" s="8"/>
    </row>
    <row r="40" spans="1:8" x14ac:dyDescent="0.25">
      <c r="A40" s="20" t="s">
        <v>44</v>
      </c>
      <c r="B40" s="16" t="s">
        <v>45</v>
      </c>
      <c r="C40" s="10"/>
      <c r="D40" s="16" t="s">
        <v>53</v>
      </c>
      <c r="E40" s="16">
        <v>750</v>
      </c>
      <c r="F40" s="8"/>
    </row>
    <row r="41" spans="1:8" x14ac:dyDescent="0.25">
      <c r="A41" s="20" t="s">
        <v>46</v>
      </c>
      <c r="B41" s="16">
        <v>5000</v>
      </c>
      <c r="C41" s="10"/>
      <c r="D41" s="16" t="s">
        <v>54</v>
      </c>
      <c r="E41" s="16">
        <f ca="1">IF(B38&gt;8,1,IF(B38&gt;5,0.8,0.5))*E40</f>
        <v>750</v>
      </c>
      <c r="F41" s="8"/>
    </row>
    <row r="42" spans="1:8" x14ac:dyDescent="0.25">
      <c r="A42" s="20" t="s">
        <v>47</v>
      </c>
      <c r="B42" s="16">
        <v>4500</v>
      </c>
      <c r="C42" s="10"/>
      <c r="D42" s="16" t="s">
        <v>55</v>
      </c>
      <c r="E42" s="16">
        <f>E40*E39</f>
        <v>6750</v>
      </c>
      <c r="F42" s="8"/>
    </row>
    <row r="43" spans="1:8" x14ac:dyDescent="0.25">
      <c r="A43" s="20" t="s">
        <v>48</v>
      </c>
      <c r="B43" s="16">
        <v>6000</v>
      </c>
      <c r="C43" s="10"/>
      <c r="D43" s="16"/>
      <c r="E43" s="16"/>
      <c r="F43" s="8"/>
    </row>
    <row r="44" spans="1:8" x14ac:dyDescent="0.25">
      <c r="A44" s="20" t="s">
        <v>49</v>
      </c>
      <c r="B44" s="16">
        <v>4900</v>
      </c>
      <c r="C44" s="10"/>
      <c r="D44" s="16" t="s">
        <v>56</v>
      </c>
      <c r="E44" s="16">
        <f ca="1">E42+E41</f>
        <v>7500</v>
      </c>
      <c r="F44" s="8"/>
    </row>
    <row r="45" spans="1:8" ht="15.75" thickBot="1" x14ac:dyDescent="0.3">
      <c r="A45" s="30" t="s">
        <v>57</v>
      </c>
      <c r="B45" s="31"/>
      <c r="C45" s="31"/>
      <c r="D45" s="31"/>
      <c r="E45" s="31"/>
      <c r="F45" s="32"/>
    </row>
    <row r="46" spans="1:8" ht="15.75" thickBot="1" x14ac:dyDescent="0.3"/>
    <row r="47" spans="1:8" x14ac:dyDescent="0.25">
      <c r="A47" s="1"/>
      <c r="B47" s="2"/>
      <c r="C47" s="39" t="s">
        <v>63</v>
      </c>
      <c r="D47" s="39"/>
      <c r="E47" s="2"/>
      <c r="F47" s="39" t="s">
        <v>66</v>
      </c>
      <c r="G47" s="39"/>
      <c r="H47" s="40"/>
    </row>
    <row r="48" spans="1:8" x14ac:dyDescent="0.25">
      <c r="A48" s="20"/>
      <c r="B48" s="16" t="s">
        <v>58</v>
      </c>
      <c r="C48" s="16" t="s">
        <v>61</v>
      </c>
      <c r="D48" s="16" t="s">
        <v>62</v>
      </c>
      <c r="E48" s="10"/>
      <c r="F48" s="29" t="s">
        <v>58</v>
      </c>
      <c r="G48" s="29"/>
      <c r="H48" s="21" t="s">
        <v>59</v>
      </c>
    </row>
    <row r="49" spans="1:8" ht="18.75" customHeight="1" x14ac:dyDescent="0.25">
      <c r="A49" s="20">
        <v>1</v>
      </c>
      <c r="B49" s="16" t="s">
        <v>59</v>
      </c>
      <c r="C49" s="16">
        <v>0.54</v>
      </c>
      <c r="D49" s="16">
        <v>0.76</v>
      </c>
      <c r="E49" s="10"/>
      <c r="F49" s="29" t="s">
        <v>67</v>
      </c>
      <c r="G49" s="29"/>
      <c r="H49" s="21">
        <v>0</v>
      </c>
    </row>
    <row r="50" spans="1:8" x14ac:dyDescent="0.25">
      <c r="A50" s="20">
        <v>2</v>
      </c>
      <c r="B50" s="16" t="s">
        <v>60</v>
      </c>
      <c r="C50" s="16">
        <v>0.37</v>
      </c>
      <c r="D50" s="16">
        <v>0.54</v>
      </c>
      <c r="E50" s="10"/>
      <c r="F50" s="29" t="s">
        <v>68</v>
      </c>
      <c r="G50" s="29"/>
      <c r="H50" s="41">
        <v>14</v>
      </c>
    </row>
    <row r="51" spans="1:8" x14ac:dyDescent="0.25">
      <c r="A51" s="9"/>
      <c r="B51" s="33" t="s">
        <v>65</v>
      </c>
      <c r="C51" s="33"/>
      <c r="D51" s="10"/>
      <c r="E51" s="10"/>
      <c r="F51" s="29" t="s">
        <v>69</v>
      </c>
      <c r="G51" s="29"/>
      <c r="H51" s="41">
        <f>H50-H49</f>
        <v>14</v>
      </c>
    </row>
    <row r="52" spans="1:8" x14ac:dyDescent="0.25">
      <c r="A52" s="20">
        <v>1</v>
      </c>
      <c r="B52" s="16" t="s">
        <v>59</v>
      </c>
      <c r="C52" s="16">
        <v>90</v>
      </c>
      <c r="D52" s="16" t="s">
        <v>64</v>
      </c>
      <c r="E52" s="10"/>
      <c r="F52" s="29" t="s">
        <v>70</v>
      </c>
      <c r="G52" s="29"/>
      <c r="H52" s="21">
        <v>2</v>
      </c>
    </row>
    <row r="53" spans="1:8" x14ac:dyDescent="0.25">
      <c r="A53" s="20">
        <v>2</v>
      </c>
      <c r="B53" s="16" t="s">
        <v>60</v>
      </c>
      <c r="C53" s="16">
        <v>130</v>
      </c>
      <c r="D53" s="16" t="s">
        <v>64</v>
      </c>
      <c r="E53" s="10"/>
      <c r="F53" s="16"/>
      <c r="G53" s="16" t="s">
        <v>73</v>
      </c>
      <c r="H53" s="21" t="s">
        <v>74</v>
      </c>
    </row>
    <row r="54" spans="1:8" x14ac:dyDescent="0.25">
      <c r="A54" s="9"/>
      <c r="B54" s="10"/>
      <c r="C54" s="10"/>
      <c r="D54" s="10"/>
      <c r="E54" s="10"/>
      <c r="F54" s="16" t="s">
        <v>71</v>
      </c>
      <c r="G54" s="16">
        <f>IF(H48=B52,C52,C53)</f>
        <v>90</v>
      </c>
      <c r="H54" s="21">
        <f>IF(H51&lt;G54, 0, H51-G54)</f>
        <v>0</v>
      </c>
    </row>
    <row r="55" spans="1:8" x14ac:dyDescent="0.25">
      <c r="A55" s="9"/>
      <c r="B55" s="10"/>
      <c r="C55" s="10"/>
      <c r="D55" s="10"/>
      <c r="E55" s="10"/>
      <c r="F55" s="16" t="s">
        <v>72</v>
      </c>
      <c r="G55" s="16">
        <f>IF(H48=B52,C49,C50)*H52</f>
        <v>1.08</v>
      </c>
      <c r="H55" s="21">
        <f>IF(H48=B52,D49,D50)*H52</f>
        <v>1.52</v>
      </c>
    </row>
    <row r="56" spans="1:8" x14ac:dyDescent="0.25">
      <c r="A56" s="9"/>
      <c r="B56" s="10"/>
      <c r="C56" s="10"/>
      <c r="D56" s="10"/>
      <c r="E56" s="10"/>
      <c r="F56" s="16" t="s">
        <v>8</v>
      </c>
      <c r="G56" s="16">
        <f>G55*H51</f>
        <v>15.120000000000001</v>
      </c>
      <c r="H56" s="21"/>
    </row>
    <row r="57" spans="1:8" ht="15.75" thickBot="1" x14ac:dyDescent="0.3">
      <c r="A57" s="30" t="s">
        <v>75</v>
      </c>
      <c r="B57" s="31"/>
      <c r="C57" s="31"/>
      <c r="D57" s="31"/>
      <c r="E57" s="31"/>
      <c r="F57" s="31"/>
      <c r="G57" s="31"/>
      <c r="H57" s="32"/>
    </row>
    <row r="58" spans="1:8" ht="15.75" thickBot="1" x14ac:dyDescent="0.3"/>
    <row r="59" spans="1:8" x14ac:dyDescent="0.25">
      <c r="A59" s="26" t="s">
        <v>76</v>
      </c>
      <c r="B59" s="17">
        <v>858</v>
      </c>
      <c r="C59" s="3"/>
    </row>
    <row r="60" spans="1:8" x14ac:dyDescent="0.25">
      <c r="A60" s="20" t="s">
        <v>77</v>
      </c>
      <c r="B60" s="16">
        <v>1005000</v>
      </c>
      <c r="C60" s="8"/>
    </row>
    <row r="61" spans="1:8" x14ac:dyDescent="0.25">
      <c r="A61" s="20" t="s">
        <v>78</v>
      </c>
      <c r="B61" s="16">
        <f>IF(B60&lt;850*B59,0,IF(B60&lt;1700*B59,0.05*B60,0.1*B60))</f>
        <v>50250</v>
      </c>
      <c r="C61" s="8"/>
    </row>
    <row r="62" spans="1:8" ht="15.75" thickBot="1" x14ac:dyDescent="0.3">
      <c r="A62" s="30" t="s">
        <v>79</v>
      </c>
      <c r="B62" s="31"/>
      <c r="C62" s="32"/>
    </row>
    <row r="63" spans="1:8" x14ac:dyDescent="0.25">
      <c r="A63" s="42" t="s">
        <v>86</v>
      </c>
      <c r="B63" s="3">
        <v>2</v>
      </c>
    </row>
    <row r="64" spans="1:8" x14ac:dyDescent="0.25">
      <c r="A64" s="9" t="s">
        <v>80</v>
      </c>
      <c r="B64" s="8">
        <v>1</v>
      </c>
    </row>
    <row r="65" spans="1:5" x14ac:dyDescent="0.25">
      <c r="A65" s="9" t="s">
        <v>81</v>
      </c>
      <c r="B65" s="8">
        <v>30000</v>
      </c>
    </row>
    <row r="66" spans="1:5" x14ac:dyDescent="0.25">
      <c r="A66" s="9" t="s">
        <v>82</v>
      </c>
      <c r="B66" s="8">
        <v>1</v>
      </c>
    </row>
    <row r="67" spans="1:5" x14ac:dyDescent="0.25">
      <c r="A67" s="9" t="s">
        <v>83</v>
      </c>
      <c r="B67" s="8">
        <f>(300*B63+400*B64*IF(B68=1,2,1))*B66</f>
        <v>1400</v>
      </c>
    </row>
    <row r="68" spans="1:5" x14ac:dyDescent="0.25">
      <c r="A68" s="9" t="s">
        <v>84</v>
      </c>
      <c r="B68" s="8">
        <v>1</v>
      </c>
    </row>
    <row r="69" spans="1:5" x14ac:dyDescent="0.25">
      <c r="A69" s="9" t="s">
        <v>85</v>
      </c>
      <c r="B69" s="8">
        <f>IF(B65/B66&lt;15000,2,IF(B65/B66&lt;30000,1,0))</f>
        <v>0</v>
      </c>
    </row>
    <row r="70" spans="1:5" ht="15.75" thickBot="1" x14ac:dyDescent="0.3">
      <c r="A70" s="30" t="s">
        <v>87</v>
      </c>
      <c r="B70" s="32"/>
    </row>
    <row r="71" spans="1:5" ht="15.75" thickBot="1" x14ac:dyDescent="0.3"/>
    <row r="72" spans="1:5" x14ac:dyDescent="0.25">
      <c r="A72" s="1" t="s">
        <v>88</v>
      </c>
      <c r="B72" s="3">
        <v>15000</v>
      </c>
    </row>
    <row r="73" spans="1:5" x14ac:dyDescent="0.25">
      <c r="A73" s="9" t="s">
        <v>89</v>
      </c>
      <c r="B73" s="8" t="s">
        <v>93</v>
      </c>
    </row>
    <row r="74" spans="1:5" x14ac:dyDescent="0.25">
      <c r="A74" s="9" t="s">
        <v>90</v>
      </c>
      <c r="B74" s="8" t="s">
        <v>92</v>
      </c>
    </row>
    <row r="75" spans="1:5" x14ac:dyDescent="0.25">
      <c r="A75" s="9" t="s">
        <v>94</v>
      </c>
      <c r="B75" s="43">
        <f>(LEN(B74)-LEN(B73))*(IF(B72&gt;20000,10,IF(B72&gt;40000,20,1)))*0.01</f>
        <v>0.02</v>
      </c>
    </row>
    <row r="76" spans="1:5" x14ac:dyDescent="0.25">
      <c r="A76" s="9" t="s">
        <v>95</v>
      </c>
      <c r="B76" s="8">
        <f>B72*B75</f>
        <v>300</v>
      </c>
    </row>
    <row r="77" spans="1:5" ht="15.75" thickBot="1" x14ac:dyDescent="0.3">
      <c r="A77" s="34" t="s">
        <v>96</v>
      </c>
      <c r="B77" s="36"/>
    </row>
    <row r="78" spans="1:5" ht="15.75" thickBot="1" x14ac:dyDescent="0.3">
      <c r="A78" s="1"/>
      <c r="B78" s="2"/>
      <c r="C78" s="2"/>
      <c r="D78" s="46" t="s">
        <v>105</v>
      </c>
      <c r="E78" s="40"/>
    </row>
    <row r="79" spans="1:5" x14ac:dyDescent="0.25">
      <c r="A79" s="26" t="s">
        <v>97</v>
      </c>
      <c r="B79" s="27" t="s">
        <v>98</v>
      </c>
      <c r="C79" s="10"/>
      <c r="D79" s="20">
        <v>0</v>
      </c>
      <c r="E79" s="21">
        <v>1</v>
      </c>
    </row>
    <row r="80" spans="1:5" ht="15.75" x14ac:dyDescent="0.25">
      <c r="A80" s="20" t="s">
        <v>99</v>
      </c>
      <c r="B80" s="21">
        <v>5</v>
      </c>
      <c r="C80" s="10"/>
      <c r="D80" s="47">
        <v>1</v>
      </c>
      <c r="E80" s="48">
        <v>1</v>
      </c>
    </row>
    <row r="81" spans="1:5" x14ac:dyDescent="0.25">
      <c r="A81" s="20" t="s">
        <v>100</v>
      </c>
      <c r="B81" s="21">
        <v>2</v>
      </c>
      <c r="C81" s="10"/>
      <c r="D81" s="47">
        <v>1</v>
      </c>
      <c r="E81" s="48">
        <v>1</v>
      </c>
    </row>
    <row r="82" spans="1:5" x14ac:dyDescent="0.25">
      <c r="A82" s="20" t="s">
        <v>101</v>
      </c>
      <c r="B82" s="21">
        <v>4</v>
      </c>
      <c r="C82" s="10"/>
      <c r="D82" s="47">
        <v>1</v>
      </c>
      <c r="E82" s="48">
        <v>0.5</v>
      </c>
    </row>
    <row r="83" spans="1:5" x14ac:dyDescent="0.25">
      <c r="A83" s="20" t="s">
        <v>102</v>
      </c>
      <c r="B83" s="21">
        <v>6</v>
      </c>
      <c r="C83" s="10"/>
      <c r="D83" s="47">
        <v>1</v>
      </c>
      <c r="E83" s="48">
        <v>0.5</v>
      </c>
    </row>
    <row r="84" spans="1:5" x14ac:dyDescent="0.25">
      <c r="A84" s="20" t="s">
        <v>103</v>
      </c>
      <c r="B84" s="21">
        <v>2</v>
      </c>
      <c r="C84" s="10"/>
      <c r="D84" s="47">
        <v>1</v>
      </c>
      <c r="E84" s="48">
        <v>0.5</v>
      </c>
    </row>
    <row r="85" spans="1:5" ht="15.75" thickBot="1" x14ac:dyDescent="0.3">
      <c r="A85" s="44" t="s">
        <v>104</v>
      </c>
      <c r="B85" s="45">
        <v>15</v>
      </c>
      <c r="C85" s="10"/>
      <c r="D85" s="49">
        <v>1</v>
      </c>
      <c r="E85" s="50">
        <v>1</v>
      </c>
    </row>
    <row r="86" spans="1:5" ht="15.75" thickBot="1" x14ac:dyDescent="0.3">
      <c r="A86" s="9"/>
      <c r="B86" s="10"/>
      <c r="C86" s="10"/>
      <c r="D86" s="10"/>
      <c r="E86" s="8"/>
    </row>
    <row r="87" spans="1:5" x14ac:dyDescent="0.25">
      <c r="A87" s="46" t="s">
        <v>106</v>
      </c>
      <c r="B87" s="40"/>
      <c r="C87" s="10"/>
      <c r="D87" s="10"/>
      <c r="E87" s="8"/>
    </row>
    <row r="88" spans="1:5" x14ac:dyDescent="0.25">
      <c r="A88" s="20"/>
      <c r="B88" s="21"/>
      <c r="C88" s="10"/>
      <c r="D88" s="10"/>
      <c r="E88" s="8"/>
    </row>
    <row r="89" spans="1:5" x14ac:dyDescent="0.25">
      <c r="A89" s="20" t="s">
        <v>107</v>
      </c>
      <c r="B89" s="21">
        <v>44</v>
      </c>
      <c r="C89" s="10"/>
      <c r="D89" s="10"/>
      <c r="E89" s="8"/>
    </row>
    <row r="90" spans="1:5" x14ac:dyDescent="0.25">
      <c r="A90" s="20" t="s">
        <v>105</v>
      </c>
      <c r="B90" s="21">
        <v>1</v>
      </c>
      <c r="C90" s="10"/>
      <c r="D90" s="10"/>
      <c r="E90" s="8"/>
    </row>
    <row r="91" spans="1:5" x14ac:dyDescent="0.25">
      <c r="A91" s="20" t="s">
        <v>108</v>
      </c>
      <c r="B91" s="21">
        <v>4</v>
      </c>
      <c r="C91" s="10"/>
      <c r="D91" s="10"/>
      <c r="E91" s="8"/>
    </row>
    <row r="92" spans="1:5" x14ac:dyDescent="0.25">
      <c r="A92" s="20" t="s">
        <v>109</v>
      </c>
      <c r="B92" s="21"/>
      <c r="C92" s="10"/>
      <c r="D92" s="10"/>
      <c r="E92" s="8"/>
    </row>
    <row r="93" spans="1:5" x14ac:dyDescent="0.25">
      <c r="A93" s="20" t="s">
        <v>15</v>
      </c>
      <c r="B93" s="21">
        <f>B89*B80+B81*B89+B82*B91*IF(B90=E79,E82,D82)+B83*B91*IF(B90=E79,E83,D83)+B84*B91*IF(B90=E79,E84,D84)+B85</f>
        <v>347</v>
      </c>
      <c r="C93" s="10"/>
      <c r="D93" s="10"/>
      <c r="E93" s="8"/>
    </row>
    <row r="94" spans="1:5" ht="15.75" thickBot="1" x14ac:dyDescent="0.3">
      <c r="A94" s="44" t="s">
        <v>110</v>
      </c>
      <c r="B94" s="45">
        <f>B93-B92</f>
        <v>347</v>
      </c>
      <c r="C94" s="10"/>
      <c r="D94" s="10"/>
      <c r="E94" s="8"/>
    </row>
    <row r="95" spans="1:5" ht="15.75" thickBot="1" x14ac:dyDescent="0.3">
      <c r="A95" s="30" t="s">
        <v>111</v>
      </c>
      <c r="B95" s="31"/>
      <c r="C95" s="31"/>
      <c r="D95" s="31"/>
      <c r="E95" s="32"/>
    </row>
    <row r="96" spans="1:5" ht="15.75" thickBot="1" x14ac:dyDescent="0.3"/>
    <row r="97" spans="1:6" x14ac:dyDescent="0.25">
      <c r="A97" s="26"/>
      <c r="B97" s="17" t="s">
        <v>112</v>
      </c>
      <c r="C97" s="27" t="s">
        <v>113</v>
      </c>
      <c r="D97" s="2"/>
      <c r="E97" s="26" t="s">
        <v>122</v>
      </c>
      <c r="F97" s="52">
        <v>37266</v>
      </c>
    </row>
    <row r="98" spans="1:6" x14ac:dyDescent="0.25">
      <c r="A98" s="20" t="s">
        <v>114</v>
      </c>
      <c r="B98" s="16" t="s">
        <v>117</v>
      </c>
      <c r="C98" s="21" t="s">
        <v>118</v>
      </c>
      <c r="D98" s="10"/>
      <c r="E98" s="20" t="s">
        <v>123</v>
      </c>
      <c r="F98" s="53">
        <v>0.77361111111111114</v>
      </c>
    </row>
    <row r="99" spans="1:6" x14ac:dyDescent="0.25">
      <c r="A99" s="20" t="s">
        <v>115</v>
      </c>
      <c r="B99" s="16">
        <v>3</v>
      </c>
      <c r="C99" s="21" t="s">
        <v>119</v>
      </c>
      <c r="D99" s="10"/>
      <c r="E99" s="20" t="s">
        <v>124</v>
      </c>
      <c r="F99" s="21">
        <v>10</v>
      </c>
    </row>
    <row r="100" spans="1:6" ht="15.75" thickBot="1" x14ac:dyDescent="0.3">
      <c r="A100" s="44" t="s">
        <v>116</v>
      </c>
      <c r="B100" s="51" t="s">
        <v>120</v>
      </c>
      <c r="C100" s="45" t="s">
        <v>121</v>
      </c>
      <c r="D100" s="10"/>
      <c r="E100" s="20" t="s">
        <v>125</v>
      </c>
      <c r="F100" s="21" t="str">
        <f>IF(WEEKDAY(F97,2)&gt;5,"Выходной","Обычный")</f>
        <v>Обычный</v>
      </c>
    </row>
    <row r="101" spans="1:6" x14ac:dyDescent="0.25">
      <c r="A101" s="9"/>
      <c r="B101" s="10"/>
      <c r="C101" s="10"/>
      <c r="D101" s="10"/>
      <c r="E101" s="20" t="s">
        <v>114</v>
      </c>
      <c r="F101" s="21">
        <f>IF(6&lt;F98&lt;18,IF(F100=A99,3%,10%),IF(F100=A99,5%,15%))</f>
        <v>0.05</v>
      </c>
    </row>
    <row r="102" spans="1:6" ht="15.75" thickBot="1" x14ac:dyDescent="0.3">
      <c r="A102" s="9"/>
      <c r="B102" s="10"/>
      <c r="C102" s="10"/>
      <c r="D102" s="10"/>
      <c r="E102" s="44" t="s">
        <v>15</v>
      </c>
      <c r="F102" s="45">
        <f>F99*F101</f>
        <v>0.5</v>
      </c>
    </row>
    <row r="103" spans="1:6" ht="15.75" thickBot="1" x14ac:dyDescent="0.3">
      <c r="A103" s="30" t="s">
        <v>126</v>
      </c>
      <c r="B103" s="31"/>
      <c r="C103" s="31"/>
      <c r="D103" s="31"/>
      <c r="E103" s="31"/>
      <c r="F103" s="32"/>
    </row>
    <row r="104" spans="1:6" ht="15.75" thickBot="1" x14ac:dyDescent="0.3"/>
    <row r="105" spans="1:6" x14ac:dyDescent="0.25">
      <c r="A105" s="26" t="s">
        <v>127</v>
      </c>
      <c r="B105" s="54">
        <v>45770</v>
      </c>
      <c r="C105" s="26" t="s">
        <v>129</v>
      </c>
      <c r="D105" s="17">
        <f>B106-B105</f>
        <v>7</v>
      </c>
      <c r="E105" s="17" t="s">
        <v>131</v>
      </c>
      <c r="F105" s="27">
        <f>IF(D105&lt;5,0.3%,IF(D105&lt;10,0.5%,1%))*D105*D106</f>
        <v>0.24500000000000002</v>
      </c>
    </row>
    <row r="106" spans="1:6" ht="15.75" thickBot="1" x14ac:dyDescent="0.3">
      <c r="A106" s="20" t="s">
        <v>128</v>
      </c>
      <c r="B106" s="55">
        <v>45777</v>
      </c>
      <c r="C106" s="44" t="s">
        <v>130</v>
      </c>
      <c r="D106" s="51">
        <f>D105*1</f>
        <v>7</v>
      </c>
      <c r="E106" s="51"/>
      <c r="F106" s="45"/>
    </row>
    <row r="107" spans="1:6" ht="15.75" thickBot="1" x14ac:dyDescent="0.3">
      <c r="A107" s="44" t="s">
        <v>15</v>
      </c>
      <c r="B107" s="45">
        <f>D106+F105</f>
        <v>7.2450000000000001</v>
      </c>
      <c r="C107" s="10"/>
      <c r="D107" s="10"/>
      <c r="E107" s="10"/>
      <c r="F107" s="8"/>
    </row>
    <row r="108" spans="1:6" ht="15.75" thickBot="1" x14ac:dyDescent="0.3">
      <c r="A108" s="30" t="s">
        <v>132</v>
      </c>
      <c r="B108" s="31"/>
      <c r="C108" s="31"/>
      <c r="D108" s="31"/>
      <c r="E108" s="31"/>
      <c r="F108" s="32"/>
    </row>
    <row r="109" spans="1:6" ht="15.75" thickBot="1" x14ac:dyDescent="0.3"/>
    <row r="110" spans="1:6" x14ac:dyDescent="0.25">
      <c r="A110" s="26" t="s">
        <v>133</v>
      </c>
      <c r="B110" s="28">
        <f ca="1">TODAY()</f>
        <v>46101</v>
      </c>
      <c r="C110" s="17" t="s">
        <v>134</v>
      </c>
      <c r="D110" s="27">
        <v>100</v>
      </c>
    </row>
    <row r="111" spans="1:6" x14ac:dyDescent="0.25">
      <c r="A111" s="20" t="s">
        <v>0</v>
      </c>
      <c r="B111" s="16" t="s">
        <v>135</v>
      </c>
      <c r="C111" s="16" t="s">
        <v>136</v>
      </c>
      <c r="D111" s="21" t="s">
        <v>137</v>
      </c>
    </row>
    <row r="112" spans="1:6" x14ac:dyDescent="0.25">
      <c r="A112" s="20"/>
      <c r="B112" s="18">
        <v>39926</v>
      </c>
      <c r="C112" s="57">
        <f ca="1">(B110-B112)/365</f>
        <v>16.917808219178081</v>
      </c>
      <c r="D112" s="21">
        <f ca="1">IF(C112&lt;3,D110,IF(C112&lt;7,D110*0.8,IF(C112&lt;14,D110*0.6,0)))</f>
        <v>0</v>
      </c>
    </row>
    <row r="113" spans="1:5" ht="15.75" thickBot="1" x14ac:dyDescent="0.3">
      <c r="A113" s="58" t="s">
        <v>138</v>
      </c>
      <c r="B113" s="59"/>
      <c r="C113" s="59"/>
      <c r="D113" s="60"/>
    </row>
    <row r="114" spans="1:5" ht="15.75" thickBot="1" x14ac:dyDescent="0.3"/>
    <row r="115" spans="1:5" x14ac:dyDescent="0.25">
      <c r="A115" s="26" t="s">
        <v>133</v>
      </c>
      <c r="B115" s="28">
        <f ca="1">TODAY()</f>
        <v>46101</v>
      </c>
      <c r="C115" s="3"/>
    </row>
    <row r="116" spans="1:5" x14ac:dyDescent="0.25">
      <c r="A116" s="20" t="s">
        <v>128</v>
      </c>
      <c r="B116" s="18">
        <v>46065</v>
      </c>
      <c r="C116" s="8"/>
    </row>
    <row r="117" spans="1:5" x14ac:dyDescent="0.25">
      <c r="A117" s="9"/>
      <c r="B117" s="10"/>
      <c r="C117" s="8"/>
    </row>
    <row r="118" spans="1:5" x14ac:dyDescent="0.25">
      <c r="A118" s="20" t="s">
        <v>139</v>
      </c>
      <c r="B118" s="16">
        <f ca="1">B115-B116</f>
        <v>36</v>
      </c>
      <c r="C118" s="21" t="str">
        <f ca="1">CHOOSE(IF(AND(MOD(B118,100)&gt;10,MOD(B118,100)&lt;20),3,MIN(MOD(B118,10),5)+1),"дней","день","дня","дня","дня","дней")</f>
        <v>дней</v>
      </c>
    </row>
    <row r="119" spans="1:5" ht="15.75" thickBot="1" x14ac:dyDescent="0.3">
      <c r="A119" s="58" t="s">
        <v>140</v>
      </c>
      <c r="B119" s="59"/>
      <c r="C119" s="60"/>
    </row>
    <row r="120" spans="1:5" ht="15.75" thickBot="1" x14ac:dyDescent="0.3"/>
    <row r="121" spans="1:5" x14ac:dyDescent="0.25">
      <c r="A121" s="26" t="s">
        <v>141</v>
      </c>
      <c r="B121" s="17" t="s">
        <v>142</v>
      </c>
      <c r="C121" s="17" t="s">
        <v>143</v>
      </c>
      <c r="D121" s="17" t="s">
        <v>144</v>
      </c>
      <c r="E121" s="27" t="s">
        <v>145</v>
      </c>
    </row>
    <row r="122" spans="1:5" x14ac:dyDescent="0.25">
      <c r="A122" s="20" t="s">
        <v>146</v>
      </c>
      <c r="B122" s="18">
        <v>23783</v>
      </c>
      <c r="C122" s="57">
        <f ca="1">(TODAY()-B122)/365</f>
        <v>61.145205479452052</v>
      </c>
      <c r="D122" s="61">
        <f>WEEKDAY(B122)</f>
        <v>4</v>
      </c>
      <c r="E122" s="21" t="str">
        <f ca="1">IF(C122&gt;35,"ОТКАЗАНО",IF(D122="понедельник","ОТКАЗАНО","ПРИНЯТ"))</f>
        <v>ОТКАЗАНО</v>
      </c>
    </row>
    <row r="123" spans="1:5" x14ac:dyDescent="0.25">
      <c r="A123" s="20" t="s">
        <v>147</v>
      </c>
      <c r="B123" s="18">
        <v>43595</v>
      </c>
      <c r="C123" s="57">
        <f t="shared" ref="C123:C124" ca="1" si="7">(TODAY()-B123)/365</f>
        <v>6.8657534246575347</v>
      </c>
      <c r="D123" s="61">
        <f t="shared" ref="D123:D124" si="8">WEEKDAY(B123)</f>
        <v>6</v>
      </c>
      <c r="E123" s="21" t="str">
        <f t="shared" ref="E123:E124" ca="1" si="9">IF(C123&gt;35,"ОТКАЗАНО",IF(D123="понедельник","ОТКАЗАНО","ПРИНЯТ"))</f>
        <v>ПРИНЯТ</v>
      </c>
    </row>
    <row r="124" spans="1:5" x14ac:dyDescent="0.25">
      <c r="A124" s="20" t="s">
        <v>148</v>
      </c>
      <c r="B124" s="18">
        <v>28982</v>
      </c>
      <c r="C124" s="57">
        <f t="shared" ca="1" si="7"/>
        <v>46.901369863013699</v>
      </c>
      <c r="D124" s="61">
        <f t="shared" si="8"/>
        <v>2</v>
      </c>
      <c r="E124" s="21" t="str">
        <f t="shared" ca="1" si="9"/>
        <v>ОТКАЗАНО</v>
      </c>
    </row>
    <row r="125" spans="1:5" ht="15.75" thickBot="1" x14ac:dyDescent="0.3">
      <c r="A125" s="58" t="s">
        <v>149</v>
      </c>
      <c r="B125" s="59"/>
      <c r="C125" s="59"/>
      <c r="D125" s="59"/>
      <c r="E125" s="60"/>
    </row>
    <row r="126" spans="1:5" ht="15.75" thickBot="1" x14ac:dyDescent="0.3"/>
    <row r="127" spans="1:5" x14ac:dyDescent="0.25">
      <c r="A127" s="26"/>
      <c r="B127" s="17" t="s">
        <v>157</v>
      </c>
      <c r="C127" s="17" t="s">
        <v>158</v>
      </c>
      <c r="D127" s="27" t="s">
        <v>159</v>
      </c>
    </row>
    <row r="128" spans="1:5" x14ac:dyDescent="0.25">
      <c r="A128" s="20" t="s">
        <v>150</v>
      </c>
      <c r="B128" s="62" t="s">
        <v>166</v>
      </c>
      <c r="C128" s="16" t="str">
        <f ca="1">LOOKUP(7*RAND()+1,ROW($1:$7),B128:B134)</f>
        <v>Уха</v>
      </c>
      <c r="D128" s="21" t="str">
        <f ca="1">LOOKUP(7*RAND()+1,ROW($1:$7),B128:B134)</f>
        <v>Рыба</v>
      </c>
    </row>
    <row r="129" spans="1:4" x14ac:dyDescent="0.25">
      <c r="A129" s="20" t="s">
        <v>151</v>
      </c>
      <c r="B129" s="16" t="s">
        <v>160</v>
      </c>
      <c r="C129" s="16" t="str">
        <f ca="1">LOOKUP(7*RAND()+1,ROW($1:$7),B128:B134)</f>
        <v>Уха</v>
      </c>
      <c r="D129" s="21" t="str">
        <f ca="1">LOOKUP(7*RAND()+1,ROW($1:$7),B128:B134)</f>
        <v xml:space="preserve">Котлеты </v>
      </c>
    </row>
    <row r="130" spans="1:4" x14ac:dyDescent="0.25">
      <c r="A130" s="20" t="s">
        <v>152</v>
      </c>
      <c r="B130" s="16" t="s">
        <v>161</v>
      </c>
      <c r="C130" s="16" t="str">
        <f ca="1">LOOKUP(7*RAND()+1,ROW($1:$7),B128:B134)</f>
        <v>Борщ</v>
      </c>
      <c r="D130" s="21" t="str">
        <f ca="1">LOOKUP(7*RAND()+1,ROW($1:$7),B128:B134)</f>
        <v>Уха</v>
      </c>
    </row>
    <row r="131" spans="1:4" x14ac:dyDescent="0.25">
      <c r="A131" s="20" t="s">
        <v>153</v>
      </c>
      <c r="B131" s="16" t="s">
        <v>162</v>
      </c>
      <c r="C131" s="16" t="str">
        <f ca="1">LOOKUP(7*RAND()+1,ROW($1:$7),B128:B134)</f>
        <v>Рыба</v>
      </c>
      <c r="D131" s="21" t="str">
        <f ca="1">LOOKUP(7*RAND()+1,ROW($1:$7),B128:B134)</f>
        <v xml:space="preserve">Котлеты </v>
      </c>
    </row>
    <row r="132" spans="1:4" x14ac:dyDescent="0.25">
      <c r="A132" s="20" t="s">
        <v>154</v>
      </c>
      <c r="B132" s="16" t="s">
        <v>163</v>
      </c>
      <c r="C132" s="16" t="str">
        <f ca="1">LOOKUP(7*RAND()+1,ROW($1:$7),B128:B134)</f>
        <v>Уха</v>
      </c>
      <c r="D132" s="21" t="str">
        <f ca="1">LOOKUP(7*RAND()+1,ROW($1:$7),B128:B134)</f>
        <v>Борщ</v>
      </c>
    </row>
    <row r="133" spans="1:4" x14ac:dyDescent="0.25">
      <c r="A133" s="20" t="s">
        <v>155</v>
      </c>
      <c r="B133" s="16" t="s">
        <v>164</v>
      </c>
      <c r="C133" s="16" t="str">
        <f ca="1">LOOKUP(7*RAND()+1,ROW($1:$7),B128:B134)</f>
        <v>Плов</v>
      </c>
      <c r="D133" s="21" t="str">
        <f ca="1">LOOKUP(7*RAND()+1,ROW($1:$7),B128:B134)</f>
        <v>Пюре</v>
      </c>
    </row>
    <row r="134" spans="1:4" x14ac:dyDescent="0.25">
      <c r="A134" s="20" t="s">
        <v>156</v>
      </c>
      <c r="B134" s="16" t="s">
        <v>165</v>
      </c>
      <c r="C134" s="16" t="str">
        <f ca="1">LOOKUP(7*RAND()+1,ROW($1:$7),B128:B134)</f>
        <v xml:space="preserve">Котлеты </v>
      </c>
      <c r="D134" s="21" t="str">
        <f ca="1">LOOKUP(7*RAND()+1,ROW($1:$7),B128:B134)</f>
        <v xml:space="preserve">Котлеты </v>
      </c>
    </row>
    <row r="135" spans="1:4" ht="15.75" thickBot="1" x14ac:dyDescent="0.3">
      <c r="A135" s="63" t="s">
        <v>167</v>
      </c>
      <c r="B135" s="64"/>
      <c r="C135" s="59"/>
      <c r="D135" s="60"/>
    </row>
    <row r="136" spans="1:4" x14ac:dyDescent="0.25">
      <c r="A136" s="65" t="s">
        <v>171</v>
      </c>
      <c r="B136" s="27">
        <v>858</v>
      </c>
    </row>
    <row r="137" spans="1:4" x14ac:dyDescent="0.25">
      <c r="A137" s="20" t="s">
        <v>168</v>
      </c>
      <c r="B137" s="21">
        <v>1200000</v>
      </c>
    </row>
    <row r="138" spans="1:4" x14ac:dyDescent="0.25">
      <c r="A138" s="20" t="s">
        <v>170</v>
      </c>
      <c r="B138" s="21">
        <v>1</v>
      </c>
    </row>
    <row r="139" spans="1:4" x14ac:dyDescent="0.25">
      <c r="A139" s="20" t="s">
        <v>169</v>
      </c>
      <c r="B139" s="21">
        <f>IF(B137&lt;850*B136,0,IF(B138=1,0.05*(B137-(850*B136)),IF(B138=2,0.1*(B137-(850*B136)),0.2*(B137-(850*B136)))))</f>
        <v>23535</v>
      </c>
    </row>
    <row r="140" spans="1:4" ht="15.75" thickBot="1" x14ac:dyDescent="0.3">
      <c r="A140" s="58" t="s">
        <v>172</v>
      </c>
      <c r="B140" s="60"/>
    </row>
    <row r="141" spans="1:4" ht="15.75" thickBot="1" x14ac:dyDescent="0.3"/>
    <row r="142" spans="1:4" x14ac:dyDescent="0.25">
      <c r="A142" s="26" t="s">
        <v>173</v>
      </c>
      <c r="B142" s="27">
        <v>13</v>
      </c>
    </row>
    <row r="143" spans="1:4" x14ac:dyDescent="0.25">
      <c r="A143" s="20" t="s">
        <v>88</v>
      </c>
      <c r="B143" s="21">
        <v>16000</v>
      </c>
    </row>
    <row r="144" spans="1:4" x14ac:dyDescent="0.25">
      <c r="A144" s="20" t="s">
        <v>174</v>
      </c>
      <c r="B144" s="21" cm="1">
        <f t="array" aca="1" ref="B144" ca="1">SUMPRODUCT(--MID(B142,ROW(INDIRECT("1:"&amp;LEN(B142))),1))+IF(B143&gt;15000,10,IF(B143&gt;30000,15,0))</f>
        <v>14</v>
      </c>
    </row>
    <row r="145" spans="1:5" x14ac:dyDescent="0.25">
      <c r="A145" s="20" t="s">
        <v>91</v>
      </c>
      <c r="B145" s="21">
        <f ca="1">B143*0.01*B144</f>
        <v>2240</v>
      </c>
    </row>
    <row r="146" spans="1:5" ht="15.75" thickBot="1" x14ac:dyDescent="0.3">
      <c r="A146" s="58" t="s">
        <v>175</v>
      </c>
      <c r="B146" s="60"/>
    </row>
    <row r="147" spans="1:5" ht="15.75" thickBot="1" x14ac:dyDescent="0.3"/>
    <row r="148" spans="1:5" x14ac:dyDescent="0.25">
      <c r="A148" s="26" t="s">
        <v>18</v>
      </c>
      <c r="B148" s="17" t="s">
        <v>176</v>
      </c>
      <c r="C148" s="17" t="s">
        <v>177</v>
      </c>
      <c r="D148" s="2"/>
      <c r="E148" s="3"/>
    </row>
    <row r="149" spans="1:5" x14ac:dyDescent="0.25">
      <c r="A149" s="20">
        <v>0</v>
      </c>
      <c r="B149" s="66">
        <v>0</v>
      </c>
      <c r="C149" s="16" t="s">
        <v>178</v>
      </c>
      <c r="D149" s="10"/>
      <c r="E149" s="8"/>
    </row>
    <row r="150" spans="1:5" x14ac:dyDescent="0.25">
      <c r="A150" s="20">
        <v>5</v>
      </c>
      <c r="B150" s="66">
        <v>0.25</v>
      </c>
      <c r="C150" s="16" t="s">
        <v>179</v>
      </c>
      <c r="D150" s="10"/>
      <c r="E150" s="8"/>
    </row>
    <row r="151" spans="1:5" x14ac:dyDescent="0.25">
      <c r="A151" s="20">
        <v>10</v>
      </c>
      <c r="B151" s="66">
        <v>0.5</v>
      </c>
      <c r="C151" s="16" t="s">
        <v>180</v>
      </c>
      <c r="D151" s="10"/>
      <c r="E151" s="8"/>
    </row>
    <row r="152" spans="1:5" x14ac:dyDescent="0.25">
      <c r="A152" s="20">
        <v>15</v>
      </c>
      <c r="B152" s="66">
        <v>0.75</v>
      </c>
      <c r="C152" s="16" t="s">
        <v>181</v>
      </c>
      <c r="D152" s="10"/>
      <c r="E152" s="8"/>
    </row>
    <row r="153" spans="1:5" x14ac:dyDescent="0.25">
      <c r="A153" s="20">
        <v>20</v>
      </c>
      <c r="B153" s="66">
        <v>1</v>
      </c>
      <c r="C153" s="16" t="s">
        <v>182</v>
      </c>
      <c r="D153" s="10"/>
      <c r="E153" s="8"/>
    </row>
    <row r="154" spans="1:5" x14ac:dyDescent="0.25">
      <c r="A154" s="9"/>
      <c r="B154" s="10"/>
      <c r="C154" s="10"/>
      <c r="D154" s="10"/>
      <c r="E154" s="8"/>
    </row>
    <row r="155" spans="1:5" x14ac:dyDescent="0.25">
      <c r="A155" s="20" t="s">
        <v>141</v>
      </c>
      <c r="B155" s="16" t="s">
        <v>2</v>
      </c>
      <c r="C155" s="16" t="s">
        <v>183</v>
      </c>
      <c r="D155" s="16" t="s">
        <v>19</v>
      </c>
      <c r="E155" s="21" t="s">
        <v>184</v>
      </c>
    </row>
    <row r="156" spans="1:5" x14ac:dyDescent="0.25">
      <c r="A156" s="20" t="s">
        <v>185</v>
      </c>
      <c r="B156" s="18">
        <v>39926</v>
      </c>
      <c r="C156" s="19">
        <f ca="1">(TODAY()-B156)/365</f>
        <v>16.917808219178081</v>
      </c>
      <c r="D156" s="16">
        <v>1000</v>
      </c>
      <c r="E156" s="21">
        <f ca="1">VLOOKUP(C156, $A$149:$B$153, 2, 1)</f>
        <v>0.75</v>
      </c>
    </row>
    <row r="157" spans="1:5" x14ac:dyDescent="0.25">
      <c r="A157" s="20" t="s">
        <v>186</v>
      </c>
      <c r="B157" s="18">
        <v>43658</v>
      </c>
      <c r="C157" s="19">
        <f ca="1">(TODAY()-B157)/365</f>
        <v>6.6931506849315072</v>
      </c>
      <c r="D157" s="16">
        <v>1000</v>
      </c>
      <c r="E157" s="21">
        <f ca="1">VLOOKUP(C157, $A$149:$B$153, 2, 1)</f>
        <v>0.25</v>
      </c>
    </row>
    <row r="158" spans="1:5" ht="15.75" thickBot="1" x14ac:dyDescent="0.3">
      <c r="A158" s="58" t="s">
        <v>187</v>
      </c>
      <c r="B158" s="59"/>
      <c r="C158" s="59"/>
      <c r="D158" s="59"/>
      <c r="E158" s="60"/>
    </row>
    <row r="159" spans="1:5" ht="15.75" thickBot="1" x14ac:dyDescent="0.3"/>
    <row r="160" spans="1:5" x14ac:dyDescent="0.25">
      <c r="A160" s="26" t="s">
        <v>0</v>
      </c>
      <c r="B160" s="17" t="s">
        <v>188</v>
      </c>
      <c r="C160" s="17" t="s">
        <v>189</v>
      </c>
      <c r="D160" s="17" t="s">
        <v>191</v>
      </c>
      <c r="E160" s="27" t="s">
        <v>190</v>
      </c>
    </row>
    <row r="161" spans="1:5" x14ac:dyDescent="0.25">
      <c r="A161" s="20">
        <v>1</v>
      </c>
      <c r="B161" s="16" t="s">
        <v>192</v>
      </c>
      <c r="C161" s="16">
        <v>23</v>
      </c>
      <c r="D161" s="16">
        <v>10</v>
      </c>
      <c r="E161" s="21">
        <f>D161+D161*0.05</f>
        <v>10.5</v>
      </c>
    </row>
    <row r="162" spans="1:5" x14ac:dyDescent="0.25">
      <c r="A162" s="20">
        <v>2</v>
      </c>
      <c r="B162" s="16" t="s">
        <v>193</v>
      </c>
      <c r="C162" s="16">
        <v>42</v>
      </c>
      <c r="D162" s="16">
        <v>12</v>
      </c>
      <c r="E162" s="21">
        <f t="shared" ref="E162:E166" si="10">D162+D162*0.05</f>
        <v>12.6</v>
      </c>
    </row>
    <row r="163" spans="1:5" x14ac:dyDescent="0.25">
      <c r="A163" s="20">
        <v>3</v>
      </c>
      <c r="B163" s="16" t="s">
        <v>194</v>
      </c>
      <c r="C163" s="16">
        <v>52</v>
      </c>
      <c r="D163" s="16">
        <v>14</v>
      </c>
      <c r="E163" s="21">
        <f t="shared" si="10"/>
        <v>14.7</v>
      </c>
    </row>
    <row r="164" spans="1:5" x14ac:dyDescent="0.25">
      <c r="A164" s="20">
        <v>4</v>
      </c>
      <c r="B164" s="16" t="s">
        <v>195</v>
      </c>
      <c r="C164" s="16">
        <v>69</v>
      </c>
      <c r="D164" s="16">
        <v>16</v>
      </c>
      <c r="E164" s="21">
        <f t="shared" si="10"/>
        <v>16.8</v>
      </c>
    </row>
    <row r="165" spans="1:5" x14ac:dyDescent="0.25">
      <c r="A165" s="20">
        <v>5</v>
      </c>
      <c r="B165" s="16" t="s">
        <v>196</v>
      </c>
      <c r="C165" s="16">
        <v>67</v>
      </c>
      <c r="D165" s="16">
        <v>18</v>
      </c>
      <c r="E165" s="21">
        <f t="shared" si="10"/>
        <v>18.899999999999999</v>
      </c>
    </row>
    <row r="166" spans="1:5" x14ac:dyDescent="0.25">
      <c r="A166" s="20">
        <v>6</v>
      </c>
      <c r="B166" s="16" t="s">
        <v>197</v>
      </c>
      <c r="C166" s="16">
        <v>19</v>
      </c>
      <c r="D166" s="16">
        <v>20</v>
      </c>
      <c r="E166" s="21">
        <f t="shared" si="10"/>
        <v>21</v>
      </c>
    </row>
    <row r="167" spans="1:5" x14ac:dyDescent="0.25">
      <c r="A167" s="9"/>
      <c r="B167" s="10"/>
      <c r="C167" s="10"/>
      <c r="D167" s="10"/>
      <c r="E167" s="8"/>
    </row>
    <row r="168" spans="1:5" x14ac:dyDescent="0.25">
      <c r="A168" s="20" t="s">
        <v>198</v>
      </c>
      <c r="B168" s="16" t="s">
        <v>197</v>
      </c>
      <c r="C168" s="10"/>
      <c r="D168" s="10"/>
      <c r="E168" s="8"/>
    </row>
    <row r="169" spans="1:5" x14ac:dyDescent="0.25">
      <c r="A169" s="20" t="s">
        <v>189</v>
      </c>
      <c r="B169" s="16">
        <f>VLOOKUP(B168, $B$161:$C$166, 2, 1)</f>
        <v>19</v>
      </c>
      <c r="C169" s="10"/>
      <c r="D169" s="10"/>
      <c r="E169" s="8"/>
    </row>
    <row r="170" spans="1:5" x14ac:dyDescent="0.25">
      <c r="A170" s="20" t="s">
        <v>7</v>
      </c>
      <c r="B170" s="16">
        <f>IF(WEEKDAY(B171, 2)&gt;5,VLOOKUP(B168, $B$161:$E$166, 4, 1),VLOOKUP(B168, $B$161:$D$166, 3, 1))</f>
        <v>20</v>
      </c>
      <c r="C170" s="10"/>
      <c r="D170" s="10"/>
      <c r="E170" s="8"/>
    </row>
    <row r="171" spans="1:5" x14ac:dyDescent="0.25">
      <c r="A171" s="20" t="s">
        <v>199</v>
      </c>
      <c r="B171" s="67">
        <v>46099.004861111112</v>
      </c>
      <c r="C171" s="10"/>
      <c r="D171" s="10"/>
      <c r="E171" s="8"/>
    </row>
    <row r="172" spans="1:5" x14ac:dyDescent="0.25">
      <c r="A172" s="20" t="s">
        <v>200</v>
      </c>
      <c r="B172" s="67">
        <v>46099.355555555558</v>
      </c>
      <c r="C172" s="10"/>
      <c r="D172" s="10"/>
      <c r="E172" s="8"/>
    </row>
    <row r="173" spans="1:5" x14ac:dyDescent="0.25">
      <c r="A173" s="20" t="s">
        <v>201</v>
      </c>
      <c r="B173" s="69">
        <f>(B172-B171)</f>
        <v>0.35069444444525288</v>
      </c>
      <c r="C173" s="10"/>
      <c r="D173" s="10"/>
      <c r="E173" s="8"/>
    </row>
    <row r="174" spans="1:5" x14ac:dyDescent="0.25">
      <c r="A174" s="20" t="s">
        <v>15</v>
      </c>
      <c r="B174" s="68">
        <f>B173*B170*24</f>
        <v>168.33333333372138</v>
      </c>
      <c r="C174" s="10"/>
      <c r="D174" s="10"/>
      <c r="E174" s="8"/>
    </row>
    <row r="175" spans="1:5" ht="15.75" thickBot="1" x14ac:dyDescent="0.3">
      <c r="A175" s="30" t="s">
        <v>202</v>
      </c>
      <c r="B175" s="31"/>
      <c r="C175" s="31"/>
      <c r="D175" s="31"/>
      <c r="E175" s="32"/>
    </row>
    <row r="176" spans="1:5" ht="15.75" thickBot="1" x14ac:dyDescent="0.3"/>
    <row r="177" spans="1:6" ht="15.75" thickBot="1" x14ac:dyDescent="0.3">
      <c r="A177" s="73" t="s">
        <v>203</v>
      </c>
      <c r="B177" s="74" t="s">
        <v>1</v>
      </c>
      <c r="C177" s="74" t="s">
        <v>204</v>
      </c>
      <c r="D177" s="75" t="s">
        <v>205</v>
      </c>
    </row>
    <row r="178" spans="1:6" x14ac:dyDescent="0.25">
      <c r="A178" s="70">
        <v>1</v>
      </c>
      <c r="B178" s="71" t="s">
        <v>211</v>
      </c>
      <c r="C178" s="71">
        <v>10</v>
      </c>
      <c r="D178" s="72">
        <f>C178-C178*5%</f>
        <v>9.5</v>
      </c>
    </row>
    <row r="179" spans="1:6" x14ac:dyDescent="0.25">
      <c r="A179" s="20">
        <v>2</v>
      </c>
      <c r="B179" s="16" t="s">
        <v>212</v>
      </c>
      <c r="C179" s="16">
        <v>12</v>
      </c>
      <c r="D179" s="72">
        <f t="shared" ref="D179:D182" si="11">C179-C179*5%</f>
        <v>11.4</v>
      </c>
    </row>
    <row r="180" spans="1:6" x14ac:dyDescent="0.25">
      <c r="A180" s="20">
        <v>3</v>
      </c>
      <c r="B180" s="16" t="s">
        <v>213</v>
      </c>
      <c r="C180" s="71">
        <v>14</v>
      </c>
      <c r="D180" s="72">
        <f t="shared" si="11"/>
        <v>13.3</v>
      </c>
    </row>
    <row r="181" spans="1:6" x14ac:dyDescent="0.25">
      <c r="A181" s="20">
        <v>4</v>
      </c>
      <c r="B181" s="16" t="s">
        <v>214</v>
      </c>
      <c r="C181" s="16">
        <v>16</v>
      </c>
      <c r="D181" s="72">
        <f t="shared" si="11"/>
        <v>15.2</v>
      </c>
    </row>
    <row r="182" spans="1:6" ht="15.75" thickBot="1" x14ac:dyDescent="0.3">
      <c r="A182" s="44">
        <v>5</v>
      </c>
      <c r="B182" s="51" t="s">
        <v>215</v>
      </c>
      <c r="C182" s="71">
        <v>18</v>
      </c>
      <c r="D182" s="72">
        <f t="shared" si="11"/>
        <v>17.100000000000001</v>
      </c>
    </row>
    <row r="183" spans="1:6" ht="15.75" thickBot="1" x14ac:dyDescent="0.3">
      <c r="A183" s="9"/>
      <c r="B183" s="10"/>
      <c r="C183" s="10"/>
      <c r="D183" s="8"/>
    </row>
    <row r="184" spans="1:6" x14ac:dyDescent="0.25">
      <c r="A184" s="26" t="s">
        <v>206</v>
      </c>
      <c r="B184" s="27">
        <v>1</v>
      </c>
      <c r="C184" s="10"/>
      <c r="D184" s="8"/>
    </row>
    <row r="185" spans="1:6" x14ac:dyDescent="0.25">
      <c r="A185" s="20" t="s">
        <v>207</v>
      </c>
      <c r="B185" s="21" t="str">
        <f>VLOOKUP(B184, $A$178:B$182, 2, 1)</f>
        <v>Лошица</v>
      </c>
      <c r="C185" s="10"/>
      <c r="D185" s="8"/>
    </row>
    <row r="186" spans="1:6" x14ac:dyDescent="0.25">
      <c r="A186" s="20" t="s">
        <v>208</v>
      </c>
      <c r="B186" s="21">
        <f>IF(B188-B187&lt;30,VLOOKUP(B184, $A$178:D$182, 3, 1),VLOOKUP(B184, $A$178:D$182, 4, 1))</f>
        <v>9.5</v>
      </c>
      <c r="C186" s="10"/>
      <c r="D186" s="8"/>
    </row>
    <row r="187" spans="1:6" x14ac:dyDescent="0.25">
      <c r="A187" s="20" t="s">
        <v>209</v>
      </c>
      <c r="B187" s="76">
        <v>46071</v>
      </c>
      <c r="C187" s="10"/>
      <c r="D187" s="8"/>
    </row>
    <row r="188" spans="1:6" x14ac:dyDescent="0.25">
      <c r="A188" s="20" t="s">
        <v>210</v>
      </c>
      <c r="B188" s="76">
        <v>46101</v>
      </c>
      <c r="C188" s="10"/>
      <c r="D188" s="8"/>
    </row>
    <row r="189" spans="1:6" ht="15.75" thickBot="1" x14ac:dyDescent="0.3">
      <c r="A189" s="44" t="s">
        <v>15</v>
      </c>
      <c r="B189" s="45">
        <f>(B188-B187)*B186</f>
        <v>285</v>
      </c>
      <c r="C189" s="10"/>
      <c r="D189" s="8"/>
    </row>
    <row r="190" spans="1:6" ht="15.75" thickBot="1" x14ac:dyDescent="0.3">
      <c r="A190" s="30" t="s">
        <v>216</v>
      </c>
      <c r="B190" s="31"/>
      <c r="C190" s="31"/>
      <c r="D190" s="32"/>
    </row>
    <row r="191" spans="1:6" ht="15.75" thickBot="1" x14ac:dyDescent="0.3"/>
    <row r="192" spans="1:6" x14ac:dyDescent="0.25">
      <c r="A192" s="79" t="s">
        <v>0</v>
      </c>
      <c r="B192" s="82" t="s">
        <v>207</v>
      </c>
      <c r="C192" s="17" t="s">
        <v>217</v>
      </c>
      <c r="D192" s="17" t="s">
        <v>218</v>
      </c>
      <c r="E192" s="17" t="s">
        <v>219</v>
      </c>
      <c r="F192" s="27" t="s">
        <v>220</v>
      </c>
    </row>
    <row r="193" spans="1:6" x14ac:dyDescent="0.25">
      <c r="A193" s="80">
        <v>1</v>
      </c>
      <c r="B193" s="86" t="s">
        <v>225</v>
      </c>
      <c r="C193" s="18">
        <v>46098</v>
      </c>
      <c r="D193" s="16" t="s">
        <v>231</v>
      </c>
      <c r="E193" s="84" t="s">
        <v>237</v>
      </c>
      <c r="F193" s="21" t="s">
        <v>243</v>
      </c>
    </row>
    <row r="194" spans="1:6" x14ac:dyDescent="0.25">
      <c r="A194" s="80">
        <v>2</v>
      </c>
      <c r="B194" s="86" t="s">
        <v>226</v>
      </c>
      <c r="C194" s="18">
        <v>46100</v>
      </c>
      <c r="D194" s="16" t="s">
        <v>232</v>
      </c>
      <c r="E194" s="84" t="s">
        <v>238</v>
      </c>
      <c r="F194" s="21" t="s">
        <v>244</v>
      </c>
    </row>
    <row r="195" spans="1:6" x14ac:dyDescent="0.25">
      <c r="A195" s="80">
        <v>3</v>
      </c>
      <c r="B195" s="86" t="s">
        <v>227</v>
      </c>
      <c r="C195" s="18">
        <v>46101</v>
      </c>
      <c r="D195" s="16" t="s">
        <v>233</v>
      </c>
      <c r="E195" s="84" t="s">
        <v>239</v>
      </c>
      <c r="F195" s="21" t="s">
        <v>245</v>
      </c>
    </row>
    <row r="196" spans="1:6" x14ac:dyDescent="0.25">
      <c r="A196" s="80">
        <v>4</v>
      </c>
      <c r="B196" s="86" t="s">
        <v>228</v>
      </c>
      <c r="C196" s="18">
        <v>46097</v>
      </c>
      <c r="D196" s="16" t="s">
        <v>234</v>
      </c>
      <c r="E196" s="84" t="s">
        <v>240</v>
      </c>
      <c r="F196" s="21" t="s">
        <v>246</v>
      </c>
    </row>
    <row r="197" spans="1:6" x14ac:dyDescent="0.25">
      <c r="A197" s="80">
        <v>5</v>
      </c>
      <c r="B197" s="86" t="s">
        <v>229</v>
      </c>
      <c r="C197" s="18">
        <v>45738</v>
      </c>
      <c r="D197" s="16" t="s">
        <v>235</v>
      </c>
      <c r="E197" s="84" t="s">
        <v>241</v>
      </c>
      <c r="F197" s="21" t="s">
        <v>247</v>
      </c>
    </row>
    <row r="198" spans="1:6" ht="15.75" thickBot="1" x14ac:dyDescent="0.3">
      <c r="A198" s="81">
        <v>6</v>
      </c>
      <c r="B198" s="87" t="s">
        <v>230</v>
      </c>
      <c r="C198" s="83">
        <v>45737</v>
      </c>
      <c r="D198" s="51" t="s">
        <v>236</v>
      </c>
      <c r="E198" s="85" t="s">
        <v>242</v>
      </c>
      <c r="F198" s="45" t="s">
        <v>248</v>
      </c>
    </row>
    <row r="199" spans="1:6" ht="15.75" thickBot="1" x14ac:dyDescent="0.3">
      <c r="A199" s="9"/>
      <c r="B199" s="91"/>
      <c r="C199" s="10"/>
      <c r="D199" s="10"/>
      <c r="E199" s="10"/>
      <c r="F199" s="8"/>
    </row>
    <row r="200" spans="1:6" x14ac:dyDescent="0.25">
      <c r="A200" s="79" t="s">
        <v>221</v>
      </c>
      <c r="B200" s="88" t="s">
        <v>229</v>
      </c>
      <c r="C200" s="10"/>
      <c r="D200" s="10"/>
      <c r="E200" s="10"/>
      <c r="F200" s="8"/>
    </row>
    <row r="201" spans="1:6" x14ac:dyDescent="0.25">
      <c r="A201" s="80" t="s">
        <v>222</v>
      </c>
      <c r="B201" s="78" t="str">
        <f>VLOOKUP(B200, $B$193:E$198, 4, 1)</f>
        <v>+375 (29) 555-02-18</v>
      </c>
      <c r="C201" s="10"/>
      <c r="D201" s="10"/>
      <c r="E201" s="10"/>
      <c r="F201" s="8"/>
    </row>
    <row r="202" spans="1:6" x14ac:dyDescent="0.25">
      <c r="A202" s="80" t="s">
        <v>220</v>
      </c>
      <c r="B202" s="78" t="str">
        <f>VLOOKUP(B200, $B$193:F$198, 5, 1)</f>
        <v>Артем</v>
      </c>
      <c r="C202" s="10"/>
      <c r="D202" s="10"/>
      <c r="E202" s="10"/>
      <c r="F202" s="8"/>
    </row>
    <row r="203" spans="1:6" x14ac:dyDescent="0.25">
      <c r="A203" s="80" t="s">
        <v>223</v>
      </c>
      <c r="B203" s="89">
        <f>VLOOKUP(B200, $B$193:E$198, 2, 1)</f>
        <v>45738</v>
      </c>
      <c r="C203" s="10"/>
      <c r="D203" s="10"/>
      <c r="E203" s="10"/>
      <c r="F203" s="8"/>
    </row>
    <row r="204" spans="1:6" ht="15.75" thickBot="1" x14ac:dyDescent="0.3">
      <c r="A204" s="81" t="s">
        <v>224</v>
      </c>
      <c r="B204" s="90">
        <f ca="1">TODAY()-B203</f>
        <v>363</v>
      </c>
      <c r="C204" s="10"/>
      <c r="D204" s="10"/>
      <c r="E204" s="10"/>
      <c r="F204" s="8"/>
    </row>
    <row r="205" spans="1:6" ht="15.75" thickBot="1" x14ac:dyDescent="0.3">
      <c r="A205" s="30" t="s">
        <v>249</v>
      </c>
      <c r="B205" s="31"/>
      <c r="C205" s="31"/>
      <c r="D205" s="31"/>
      <c r="E205" s="31"/>
      <c r="F205" s="32"/>
    </row>
    <row r="206" spans="1:6" ht="15.75" thickBot="1" x14ac:dyDescent="0.3"/>
    <row r="207" spans="1:6" x14ac:dyDescent="0.25">
      <c r="A207" s="26" t="s">
        <v>0</v>
      </c>
      <c r="B207" s="17" t="s">
        <v>250</v>
      </c>
      <c r="C207" s="17" t="s">
        <v>90</v>
      </c>
      <c r="D207" s="17" t="s">
        <v>2</v>
      </c>
      <c r="E207" s="17" t="s">
        <v>142</v>
      </c>
      <c r="F207" s="27" t="s">
        <v>19</v>
      </c>
    </row>
    <row r="208" spans="1:6" x14ac:dyDescent="0.25">
      <c r="A208" s="20">
        <v>1</v>
      </c>
      <c r="B208" s="16">
        <v>3443</v>
      </c>
      <c r="C208" s="16" t="s">
        <v>146</v>
      </c>
      <c r="D208" s="18">
        <v>39947</v>
      </c>
      <c r="E208" s="18">
        <v>30022</v>
      </c>
      <c r="F208" s="21">
        <v>1000</v>
      </c>
    </row>
    <row r="209" spans="1:6" x14ac:dyDescent="0.25">
      <c r="A209" s="20">
        <v>2</v>
      </c>
      <c r="B209" s="16">
        <v>5352</v>
      </c>
      <c r="C209" s="16" t="s">
        <v>251</v>
      </c>
      <c r="D209" s="18">
        <v>41235</v>
      </c>
      <c r="E209" s="18">
        <v>31233</v>
      </c>
      <c r="F209" s="21">
        <v>800</v>
      </c>
    </row>
    <row r="210" spans="1:6" x14ac:dyDescent="0.25">
      <c r="A210" s="20">
        <v>3</v>
      </c>
      <c r="B210" s="16">
        <v>4748</v>
      </c>
      <c r="C210" s="16" t="s">
        <v>252</v>
      </c>
      <c r="D210" s="18">
        <v>42038</v>
      </c>
      <c r="E210" s="18">
        <v>33206</v>
      </c>
      <c r="F210" s="21">
        <v>900</v>
      </c>
    </row>
    <row r="211" spans="1:6" x14ac:dyDescent="0.25">
      <c r="A211" s="20">
        <v>4</v>
      </c>
      <c r="B211" s="16">
        <v>9032</v>
      </c>
      <c r="C211" s="16" t="s">
        <v>253</v>
      </c>
      <c r="D211" s="18">
        <v>42977</v>
      </c>
      <c r="E211" s="18">
        <v>33983</v>
      </c>
      <c r="F211" s="21">
        <v>1200</v>
      </c>
    </row>
    <row r="212" spans="1:6" x14ac:dyDescent="0.25">
      <c r="A212" s="20">
        <v>5</v>
      </c>
      <c r="B212" s="16">
        <v>1643</v>
      </c>
      <c r="C212" s="16" t="s">
        <v>254</v>
      </c>
      <c r="D212" s="18">
        <v>40554</v>
      </c>
      <c r="E212" s="18">
        <v>35297</v>
      </c>
      <c r="F212" s="21">
        <v>890</v>
      </c>
    </row>
    <row r="213" spans="1:6" x14ac:dyDescent="0.25">
      <c r="A213" s="20">
        <v>6</v>
      </c>
      <c r="B213" s="16">
        <v>2749</v>
      </c>
      <c r="C213" s="16" t="s">
        <v>255</v>
      </c>
      <c r="D213" s="18">
        <v>44001</v>
      </c>
      <c r="E213" s="18">
        <v>35918</v>
      </c>
      <c r="F213" s="21">
        <v>920</v>
      </c>
    </row>
    <row r="214" spans="1:6" x14ac:dyDescent="0.25">
      <c r="A214" s="20">
        <v>7</v>
      </c>
      <c r="B214" s="16">
        <v>4185</v>
      </c>
      <c r="C214" s="16" t="s">
        <v>256</v>
      </c>
      <c r="D214" s="18">
        <v>41980</v>
      </c>
      <c r="E214" s="18">
        <v>36450</v>
      </c>
      <c r="F214" s="21">
        <v>990</v>
      </c>
    </row>
    <row r="215" spans="1:6" ht="15.75" thickBot="1" x14ac:dyDescent="0.3">
      <c r="A215" s="44">
        <v>8</v>
      </c>
      <c r="B215" s="51">
        <v>1675</v>
      </c>
      <c r="C215" s="51" t="s">
        <v>257</v>
      </c>
      <c r="D215" s="83">
        <v>43215</v>
      </c>
      <c r="E215" s="83">
        <v>36564</v>
      </c>
      <c r="F215" s="45">
        <v>1100</v>
      </c>
    </row>
    <row r="216" spans="1:6" ht="15.75" thickBot="1" x14ac:dyDescent="0.3">
      <c r="A216" s="9"/>
      <c r="B216" s="10"/>
      <c r="C216" s="10"/>
      <c r="D216" s="10"/>
      <c r="E216" s="10"/>
      <c r="F216" s="8"/>
    </row>
    <row r="217" spans="1:6" x14ac:dyDescent="0.25">
      <c r="A217" s="79" t="s">
        <v>189</v>
      </c>
      <c r="B217" s="77">
        <v>3443</v>
      </c>
      <c r="C217" s="10"/>
      <c r="D217" s="10"/>
      <c r="E217" s="10"/>
      <c r="F217" s="8"/>
    </row>
    <row r="218" spans="1:6" x14ac:dyDescent="0.25">
      <c r="A218" s="80" t="s">
        <v>19</v>
      </c>
      <c r="B218" s="78">
        <f>VLOOKUP(B217, $B$208:F$215, 5, 1)</f>
        <v>1000</v>
      </c>
      <c r="C218" s="10"/>
      <c r="D218" s="10"/>
      <c r="E218" s="10"/>
      <c r="F218" s="8"/>
    </row>
    <row r="219" spans="1:6" x14ac:dyDescent="0.25">
      <c r="A219" s="80" t="s">
        <v>90</v>
      </c>
      <c r="B219" s="78" t="str">
        <f>VLOOKUP(B217, $B$208:F$215, 2, 1)</f>
        <v>Иванов</v>
      </c>
      <c r="C219" s="10"/>
      <c r="D219" s="10"/>
      <c r="E219" s="10"/>
      <c r="F219" s="8"/>
    </row>
    <row r="220" spans="1:6" x14ac:dyDescent="0.25">
      <c r="A220" s="80" t="s">
        <v>2</v>
      </c>
      <c r="B220" s="89">
        <f>VLOOKUP(B217, $B$208:F$215, 3, 1)</f>
        <v>39947</v>
      </c>
      <c r="C220" s="10"/>
      <c r="D220" s="10"/>
      <c r="E220" s="10"/>
      <c r="F220" s="8"/>
    </row>
    <row r="221" spans="1:6" x14ac:dyDescent="0.25">
      <c r="A221" s="80" t="s">
        <v>142</v>
      </c>
      <c r="B221" s="89">
        <f>VLOOKUP(B217, $B$208:F$215, 4, 1)</f>
        <v>30022</v>
      </c>
      <c r="C221" s="10"/>
      <c r="D221" s="10"/>
      <c r="E221" s="10"/>
      <c r="F221" s="8"/>
    </row>
    <row r="222" spans="1:6" ht="15.75" thickBot="1" x14ac:dyDescent="0.3">
      <c r="A222" s="80" t="s">
        <v>136</v>
      </c>
      <c r="B222" s="92">
        <f ca="1">(TODAY()-B221)/365</f>
        <v>44.052054794520551</v>
      </c>
      <c r="C222" s="10"/>
      <c r="D222" s="10"/>
      <c r="E222" s="10"/>
      <c r="F222" s="8"/>
    </row>
    <row r="223" spans="1:6" ht="15.75" thickBot="1" x14ac:dyDescent="0.3">
      <c r="A223" s="81" t="s">
        <v>18</v>
      </c>
      <c r="B223" s="93">
        <f ca="1">(TODAY()-B220)/365</f>
        <v>16.860273972602741</v>
      </c>
      <c r="C223" s="10"/>
      <c r="D223" s="10"/>
      <c r="E223" s="10"/>
      <c r="F223" s="8"/>
    </row>
    <row r="224" spans="1:6" ht="15.75" thickBot="1" x14ac:dyDescent="0.3">
      <c r="A224" s="30" t="s">
        <v>258</v>
      </c>
      <c r="B224" s="31"/>
      <c r="C224" s="31"/>
      <c r="D224" s="31"/>
      <c r="E224" s="31"/>
      <c r="F224" s="32"/>
    </row>
    <row r="225" spans="1:2" ht="15.75" thickBot="1" x14ac:dyDescent="0.3"/>
    <row r="226" spans="1:2" x14ac:dyDescent="0.25">
      <c r="A226" s="26" t="s">
        <v>259</v>
      </c>
      <c r="B226" s="27">
        <v>40</v>
      </c>
    </row>
    <row r="227" spans="1:2" ht="15.75" thickBot="1" x14ac:dyDescent="0.3">
      <c r="A227" s="44" t="s">
        <v>260</v>
      </c>
      <c r="B227" s="45">
        <v>50</v>
      </c>
    </row>
    <row r="228" spans="1:2" ht="15.75" thickBot="1" x14ac:dyDescent="0.3">
      <c r="A228" s="9"/>
      <c r="B228" s="8"/>
    </row>
    <row r="229" spans="1:2" x14ac:dyDescent="0.25">
      <c r="A229" s="26" t="s">
        <v>261</v>
      </c>
      <c r="B229" s="27">
        <v>41</v>
      </c>
    </row>
    <row r="230" spans="1:2" ht="15.75" thickBot="1" x14ac:dyDescent="0.3">
      <c r="A230" s="44" t="s">
        <v>262</v>
      </c>
      <c r="B230" s="45">
        <f>IF(B229=B226,B226*B227,IF(B229&gt;B226,B226*B227+(B229-B226)*1.5*B227,B229*0.8*B227))</f>
        <v>2075</v>
      </c>
    </row>
    <row r="231" spans="1:2" ht="15.75" thickBot="1" x14ac:dyDescent="0.3">
      <c r="A231" s="95" t="s">
        <v>263</v>
      </c>
      <c r="B231" s="96"/>
    </row>
    <row r="232" spans="1:2" ht="15.75" thickBot="1" x14ac:dyDescent="0.3"/>
    <row r="233" spans="1:2" ht="15.75" thickBot="1" x14ac:dyDescent="0.3">
      <c r="A233" s="97">
        <v>39926</v>
      </c>
      <c r="B233" s="94">
        <f>IF(MONTH(A233)&lt;=3, 1, IF(MONTH(A233)&lt;=6, 2, IF(MONTH(A233)&lt;=9, 3, 4)))</f>
        <v>2</v>
      </c>
    </row>
    <row r="234" spans="1:2" x14ac:dyDescent="0.25">
      <c r="A234" s="9"/>
      <c r="B234" s="8"/>
    </row>
    <row r="235" spans="1:2" x14ac:dyDescent="0.25">
      <c r="A235" s="16">
        <v>1</v>
      </c>
      <c r="B235" s="16">
        <v>1</v>
      </c>
    </row>
    <row r="236" spans="1:2" x14ac:dyDescent="0.25">
      <c r="A236" s="16">
        <v>4</v>
      </c>
      <c r="B236" s="16">
        <v>2</v>
      </c>
    </row>
    <row r="237" spans="1:2" x14ac:dyDescent="0.25">
      <c r="A237" s="16">
        <v>7</v>
      </c>
      <c r="B237" s="16">
        <v>3</v>
      </c>
    </row>
    <row r="238" spans="1:2" x14ac:dyDescent="0.25">
      <c r="A238" s="16">
        <v>10</v>
      </c>
      <c r="B238" s="16">
        <v>4</v>
      </c>
    </row>
    <row r="239" spans="1:2" ht="15.75" thickBot="1" x14ac:dyDescent="0.3">
      <c r="A239" s="9"/>
      <c r="B239" s="8"/>
    </row>
    <row r="240" spans="1:2" ht="15.75" thickBot="1" x14ac:dyDescent="0.3">
      <c r="A240" s="97">
        <v>40017</v>
      </c>
      <c r="B240" s="98">
        <f>VLOOKUP(MONTH(A240), $A$235:$B$238, 2, 1)</f>
        <v>3</v>
      </c>
    </row>
    <row r="241" spans="1:5" ht="15.75" thickBot="1" x14ac:dyDescent="0.3">
      <c r="A241" s="95" t="s">
        <v>264</v>
      </c>
      <c r="B241" s="96"/>
    </row>
    <row r="242" spans="1:5" ht="15.75" thickBot="1" x14ac:dyDescent="0.3"/>
    <row r="243" spans="1:5" x14ac:dyDescent="0.25">
      <c r="A243" s="26" t="s">
        <v>203</v>
      </c>
      <c r="B243" s="17" t="s">
        <v>1</v>
      </c>
      <c r="C243" s="17" t="s">
        <v>265</v>
      </c>
      <c r="D243" s="17" t="s">
        <v>266</v>
      </c>
      <c r="E243" s="27" t="s">
        <v>267</v>
      </c>
    </row>
    <row r="244" spans="1:5" x14ac:dyDescent="0.25">
      <c r="A244" s="20">
        <v>10</v>
      </c>
      <c r="B244" s="16" t="s">
        <v>269</v>
      </c>
      <c r="C244" s="16">
        <v>10</v>
      </c>
      <c r="D244" s="16">
        <f>C244-C244*0.05</f>
        <v>9.5</v>
      </c>
      <c r="E244" s="21">
        <f>D244-C244*0.05</f>
        <v>9</v>
      </c>
    </row>
    <row r="245" spans="1:5" x14ac:dyDescent="0.25">
      <c r="A245" s="20">
        <v>11</v>
      </c>
      <c r="B245" s="16" t="s">
        <v>270</v>
      </c>
      <c r="C245" s="16">
        <v>15</v>
      </c>
      <c r="D245" s="16">
        <f t="shared" ref="D245:E246" si="12">C245-C245*0.05</f>
        <v>14.25</v>
      </c>
      <c r="E245" s="21">
        <f>D245-C245*0.05</f>
        <v>13.5</v>
      </c>
    </row>
    <row r="246" spans="1:5" x14ac:dyDescent="0.25">
      <c r="A246" s="20">
        <v>12</v>
      </c>
      <c r="B246" s="16" t="s">
        <v>271</v>
      </c>
      <c r="C246" s="16">
        <v>20</v>
      </c>
      <c r="D246" s="16">
        <f t="shared" si="12"/>
        <v>19</v>
      </c>
      <c r="E246" s="21">
        <f>D246-C246*0.05</f>
        <v>18</v>
      </c>
    </row>
    <row r="247" spans="1:5" x14ac:dyDescent="0.25">
      <c r="A247" s="9"/>
      <c r="B247" s="10"/>
      <c r="C247" s="10"/>
      <c r="D247" s="10"/>
      <c r="E247" s="8"/>
    </row>
    <row r="248" spans="1:5" x14ac:dyDescent="0.25">
      <c r="A248" s="20" t="s">
        <v>203</v>
      </c>
      <c r="B248" s="16">
        <v>12</v>
      </c>
      <c r="C248" s="10"/>
      <c r="D248" s="10"/>
      <c r="E248" s="8"/>
    </row>
    <row r="249" spans="1:5" x14ac:dyDescent="0.25">
      <c r="A249" s="20" t="s">
        <v>268</v>
      </c>
      <c r="B249" s="16">
        <v>550</v>
      </c>
      <c r="C249" s="10"/>
      <c r="D249" s="10"/>
      <c r="E249" s="8"/>
    </row>
    <row r="250" spans="1:5" x14ac:dyDescent="0.25">
      <c r="A250" s="20" t="s">
        <v>1</v>
      </c>
      <c r="B250" s="16" t="str">
        <f>VLOOKUP(B248,A244:E246,2,1)</f>
        <v>Авианосец</v>
      </c>
      <c r="C250" s="10"/>
      <c r="D250" s="10"/>
      <c r="E250" s="8"/>
    </row>
    <row r="251" spans="1:5" x14ac:dyDescent="0.25">
      <c r="A251" s="20" t="s">
        <v>3</v>
      </c>
      <c r="B251" s="16">
        <f>VLOOKUP(B248,A244:E246,3,1)-IF(B249&lt;50,0,IF(B249&lt;100,0.05*VLOOKUP(B248,A244:E246,3,1),VLOOKUP(B248,A244:E246,3,1)*0.1))</f>
        <v>18</v>
      </c>
      <c r="C251" s="10"/>
      <c r="D251" s="10"/>
      <c r="E251" s="8"/>
    </row>
    <row r="252" spans="1:5" x14ac:dyDescent="0.25">
      <c r="A252" s="20" t="s">
        <v>7</v>
      </c>
      <c r="B252" s="16">
        <f>B251*B249</f>
        <v>9900</v>
      </c>
      <c r="C252" s="10"/>
      <c r="D252" s="10"/>
      <c r="E252" s="8"/>
    </row>
    <row r="253" spans="1:5" ht="15.75" thickBot="1" x14ac:dyDescent="0.3">
      <c r="A253" s="30" t="s">
        <v>272</v>
      </c>
      <c r="B253" s="31"/>
      <c r="C253" s="31"/>
      <c r="D253" s="31"/>
      <c r="E253" s="32"/>
    </row>
    <row r="254" spans="1:5" ht="15.75" thickBot="1" x14ac:dyDescent="0.3"/>
    <row r="255" spans="1:5" x14ac:dyDescent="0.25">
      <c r="A255" s="26" t="s">
        <v>273</v>
      </c>
      <c r="B255" s="27" t="s">
        <v>277</v>
      </c>
    </row>
    <row r="256" spans="1:5" x14ac:dyDescent="0.25">
      <c r="A256" s="20" t="s">
        <v>135</v>
      </c>
      <c r="B256" s="76">
        <v>39926</v>
      </c>
    </row>
    <row r="257" spans="1:6" x14ac:dyDescent="0.25">
      <c r="A257" s="20" t="s">
        <v>274</v>
      </c>
      <c r="B257" s="21">
        <v>63</v>
      </c>
    </row>
    <row r="258" spans="1:6" x14ac:dyDescent="0.25">
      <c r="A258" s="99" t="s">
        <v>275</v>
      </c>
      <c r="B258" s="21">
        <v>58</v>
      </c>
    </row>
    <row r="259" spans="1:6" x14ac:dyDescent="0.25">
      <c r="A259" s="100" t="s">
        <v>276</v>
      </c>
      <c r="B259" s="101">
        <f ca="1">IF(B255="муж",B257,B258)-((TODAY()-B256)/365)</f>
        <v>46.082191780821915</v>
      </c>
    </row>
    <row r="260" spans="1:6" ht="15.75" thickBot="1" x14ac:dyDescent="0.3">
      <c r="A260" s="58" t="s">
        <v>278</v>
      </c>
      <c r="B260" s="60"/>
    </row>
    <row r="262" spans="1:6" x14ac:dyDescent="0.25">
      <c r="A262" t="s">
        <v>0</v>
      </c>
      <c r="B262" t="s">
        <v>279</v>
      </c>
      <c r="C262" t="s">
        <v>280</v>
      </c>
      <c r="D262" t="s">
        <v>281</v>
      </c>
      <c r="E262" t="s">
        <v>282</v>
      </c>
      <c r="F262" t="s">
        <v>283</v>
      </c>
    </row>
    <row r="263" spans="1:6" x14ac:dyDescent="0.25">
      <c r="A263">
        <v>1</v>
      </c>
      <c r="B263" t="e" cm="1">
        <f t="array" ref="B263">EUR/BYN</f>
        <v>#NAME?</v>
      </c>
    </row>
    <row r="264" spans="1:6" x14ac:dyDescent="0.25">
      <c r="A264">
        <v>2</v>
      </c>
    </row>
    <row r="265" spans="1:6" x14ac:dyDescent="0.25">
      <c r="A265">
        <v>3</v>
      </c>
    </row>
    <row r="266" spans="1:6" x14ac:dyDescent="0.25">
      <c r="A266">
        <v>4</v>
      </c>
    </row>
    <row r="267" spans="1:6" x14ac:dyDescent="0.25">
      <c r="A267">
        <v>5</v>
      </c>
    </row>
    <row r="268" spans="1:6" x14ac:dyDescent="0.25">
      <c r="A268">
        <v>6</v>
      </c>
    </row>
    <row r="269" spans="1:6" x14ac:dyDescent="0.25">
      <c r="A269">
        <v>7</v>
      </c>
    </row>
    <row r="270" spans="1:6" x14ac:dyDescent="0.25">
      <c r="A270">
        <v>8</v>
      </c>
    </row>
    <row r="271" spans="1:6" x14ac:dyDescent="0.25">
      <c r="A271">
        <v>9</v>
      </c>
    </row>
    <row r="272" spans="1:6" x14ac:dyDescent="0.25">
      <c r="A272">
        <v>10</v>
      </c>
    </row>
    <row r="274" spans="1:5" ht="15.75" thickBot="1" x14ac:dyDescent="0.3"/>
    <row r="275" spans="1:5" x14ac:dyDescent="0.25">
      <c r="A275" s="26" t="s">
        <v>284</v>
      </c>
      <c r="B275" s="17" t="s">
        <v>285</v>
      </c>
      <c r="C275" s="17" t="s">
        <v>286</v>
      </c>
      <c r="D275" s="17" t="s">
        <v>287</v>
      </c>
      <c r="E275" s="27" t="s">
        <v>288</v>
      </c>
    </row>
    <row r="276" spans="1:5" x14ac:dyDescent="0.25">
      <c r="A276" s="102">
        <v>30536</v>
      </c>
      <c r="B276" s="18">
        <v>32998</v>
      </c>
      <c r="C276" s="56">
        <f>DATEDIF(A276,B276,"y")</f>
        <v>6</v>
      </c>
      <c r="D276" s="16">
        <f>DATEDIF(A276,B276,"ym")</f>
        <v>8</v>
      </c>
      <c r="E276" s="21">
        <f>DATEDIF(A276,B276,"md")</f>
        <v>27</v>
      </c>
    </row>
    <row r="277" spans="1:5" x14ac:dyDescent="0.25">
      <c r="A277" s="20"/>
      <c r="B277" s="16"/>
      <c r="C277" s="56">
        <f t="shared" ref="C277:C278" si="13">DATEDIF(A277,B277,"y")</f>
        <v>0</v>
      </c>
      <c r="D277" s="16">
        <f t="shared" ref="D277:D278" si="14">DATEDIF(A277,B277,"ym")</f>
        <v>0</v>
      </c>
      <c r="E277" s="21">
        <f t="shared" ref="E277:E278" si="15">DATEDIF(A277,B277,"md")</f>
        <v>0</v>
      </c>
    </row>
    <row r="278" spans="1:5" ht="15.75" thickBot="1" x14ac:dyDescent="0.3">
      <c r="A278" s="44"/>
      <c r="B278" s="51"/>
      <c r="C278" s="56">
        <f t="shared" si="13"/>
        <v>0</v>
      </c>
      <c r="D278" s="16">
        <f t="shared" si="14"/>
        <v>0</v>
      </c>
      <c r="E278" s="21">
        <f t="shared" si="15"/>
        <v>0</v>
      </c>
    </row>
    <row r="279" spans="1:5" ht="15.75" thickBot="1" x14ac:dyDescent="0.3">
      <c r="A279" s="95" t="s">
        <v>289</v>
      </c>
      <c r="B279" s="103"/>
      <c r="C279" s="103"/>
      <c r="D279" s="103"/>
      <c r="E279" s="96"/>
    </row>
    <row r="280" spans="1:5" x14ac:dyDescent="0.25">
      <c r="A280" s="70"/>
      <c r="B280" s="71" t="s">
        <v>290</v>
      </c>
      <c r="C280" s="71">
        <f>SUM(C276:C278)</f>
        <v>6</v>
      </c>
      <c r="D280" s="71">
        <f t="shared" ref="D280:E280" si="16">SUM(D276:D278)</f>
        <v>8</v>
      </c>
      <c r="E280" s="72">
        <f t="shared" si="16"/>
        <v>27</v>
      </c>
    </row>
    <row r="281" spans="1:5" x14ac:dyDescent="0.25">
      <c r="A281" s="20"/>
      <c r="B281" s="16"/>
      <c r="C281" s="16"/>
      <c r="D281" s="16"/>
      <c r="E281" s="21"/>
    </row>
    <row r="282" spans="1:5" x14ac:dyDescent="0.25">
      <c r="A282" s="20"/>
      <c r="B282" s="16"/>
      <c r="C282" s="16"/>
      <c r="D282" s="16"/>
      <c r="E282" s="21"/>
    </row>
    <row r="283" spans="1:5" x14ac:dyDescent="0.25">
      <c r="A283" s="20"/>
      <c r="B283" s="16"/>
      <c r="C283" s="16"/>
      <c r="D283" s="16"/>
      <c r="E283" s="21"/>
    </row>
    <row r="284" spans="1:5" x14ac:dyDescent="0.25">
      <c r="A284" s="20"/>
      <c r="B284" s="16"/>
      <c r="C284" s="16"/>
      <c r="D284" s="16"/>
      <c r="E284" s="21"/>
    </row>
    <row r="285" spans="1:5" x14ac:dyDescent="0.25">
      <c r="A285" s="20"/>
      <c r="B285" s="16" t="s">
        <v>291</v>
      </c>
      <c r="C285" s="16" t="s">
        <v>143</v>
      </c>
      <c r="D285" s="16">
        <f>C280</f>
        <v>6</v>
      </c>
      <c r="E285" s="21"/>
    </row>
    <row r="286" spans="1:5" x14ac:dyDescent="0.25">
      <c r="A286" s="20"/>
      <c r="B286" s="16"/>
      <c r="C286" s="16" t="s">
        <v>287</v>
      </c>
      <c r="D286" s="16">
        <f>D280</f>
        <v>8</v>
      </c>
      <c r="E286" s="21"/>
    </row>
    <row r="287" spans="1:5" x14ac:dyDescent="0.25">
      <c r="A287" s="37" t="s">
        <v>292</v>
      </c>
      <c r="B287" s="29"/>
      <c r="C287" s="29"/>
      <c r="D287" s="16">
        <f>MAX(C276:C278)</f>
        <v>6</v>
      </c>
      <c r="E287" s="21" t="s">
        <v>293</v>
      </c>
    </row>
    <row r="288" spans="1:5" ht="15.75" thickBot="1" x14ac:dyDescent="0.3">
      <c r="A288" s="58" t="s">
        <v>294</v>
      </c>
      <c r="B288" s="59"/>
      <c r="C288" s="59"/>
      <c r="D288" s="59"/>
      <c r="E288" s="60"/>
    </row>
  </sheetData>
  <mergeCells count="45">
    <mergeCell ref="A253:E253"/>
    <mergeCell ref="A260:B260"/>
    <mergeCell ref="A279:E279"/>
    <mergeCell ref="A287:C287"/>
    <mergeCell ref="A288:E288"/>
    <mergeCell ref="A190:D190"/>
    <mergeCell ref="A205:F205"/>
    <mergeCell ref="A224:F224"/>
    <mergeCell ref="A231:B231"/>
    <mergeCell ref="A241:B241"/>
    <mergeCell ref="A135:D135"/>
    <mergeCell ref="A140:B140"/>
    <mergeCell ref="A146:B146"/>
    <mergeCell ref="A158:E158"/>
    <mergeCell ref="A175:E175"/>
    <mergeCell ref="A103:F103"/>
    <mergeCell ref="A108:F108"/>
    <mergeCell ref="A113:D113"/>
    <mergeCell ref="A119:C119"/>
    <mergeCell ref="A125:E125"/>
    <mergeCell ref="A70:B70"/>
    <mergeCell ref="A77:B77"/>
    <mergeCell ref="D78:E78"/>
    <mergeCell ref="A87:B87"/>
    <mergeCell ref="A95:E95"/>
    <mergeCell ref="A27:B27"/>
    <mergeCell ref="D26:E26"/>
    <mergeCell ref="G26:H26"/>
    <mergeCell ref="A57:H57"/>
    <mergeCell ref="A62:C62"/>
    <mergeCell ref="A13:E13"/>
    <mergeCell ref="G8:O8"/>
    <mergeCell ref="A23:F23"/>
    <mergeCell ref="H18:M18"/>
    <mergeCell ref="H24:L24"/>
    <mergeCell ref="F52:G52"/>
    <mergeCell ref="A35:H35"/>
    <mergeCell ref="A45:F45"/>
    <mergeCell ref="C47:D47"/>
    <mergeCell ref="B51:C51"/>
    <mergeCell ref="F47:H47"/>
    <mergeCell ref="F48:G48"/>
    <mergeCell ref="F49:G49"/>
    <mergeCell ref="F50:G50"/>
    <mergeCell ref="F51:G51"/>
  </mergeCells>
  <phoneticPr fontId="1" type="noConversion"/>
  <conditionalFormatting sqref="C118">
    <cfRule type="expression" dxfId="1" priority="2">
      <formula>$B$118&gt;5</formula>
    </cfRule>
  </conditionalFormatting>
  <conditionalFormatting sqref="B259">
    <cfRule type="expression" dxfId="0" priority="1">
      <formula>$B$259&lt;=1</formula>
    </cfRule>
  </conditionalFormatting>
  <dataValidations disablePrompts="1" count="3">
    <dataValidation type="list" allowBlank="1" showInputMessage="1" showErrorMessage="1" sqref="B200" xr:uid="{41BDA61B-F404-41F7-8AE8-986B4DCF68DE}">
      <formula1>$B$193:$B$198</formula1>
    </dataValidation>
    <dataValidation type="list" allowBlank="1" showInputMessage="1" showErrorMessage="1" sqref="B217" xr:uid="{115DDF0F-556F-45D7-AFAD-5EBCD82B6901}">
      <formula1>$B$208:$B$215</formula1>
    </dataValidation>
    <dataValidation type="list" allowBlank="1" showInputMessage="1" showErrorMessage="1" sqref="B248" xr:uid="{A2AA80C2-6868-42D4-8C05-12EFA003D126}">
      <formula1>$A$244:$A$246</formula1>
    </dataValidation>
  </dataValidations>
  <pageMargins left="0.7" right="0.7" top="0.75" bottom="0.75" header="0.3" footer="0.3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7075D-93FE-4197-B5F5-19442A577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2026-03-20T10:11:18Z</dcterms:modified>
</cp:coreProperties>
</file>