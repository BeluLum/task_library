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fs-s-kz.students.mgke.loc\Profiles\students\GR_89\Кудлаш Иван\2-ой курс\Практика\день 35\"/>
    </mc:Choice>
  </mc:AlternateContent>
  <xr:revisionPtr revIDLastSave="0" documentId="13_ncr:1_{0EFB8F2B-7F88-413E-BA40-0ACD9544367F}" xr6:coauthVersionLast="47" xr6:coauthVersionMax="47" xr10:uidLastSave="{00000000-0000-0000-0000-000000000000}"/>
  <bookViews>
    <workbookView xWindow="-15" yWindow="600" windowWidth="14925" windowHeight="13620" firstSheet="6" activeTab="8" xr2:uid="{00000000-000D-0000-FFFF-FFFF00000000}"/>
  </bookViews>
  <sheets>
    <sheet name="Ведомость" sheetId="1" r:id="rId1"/>
    <sheet name="Формулы" sheetId="2" r:id="rId2"/>
    <sheet name="Лист2" sheetId="3" r:id="rId3"/>
    <sheet name="ЗП октябрь" sheetId="4" r:id="rId4"/>
    <sheet name="ЗП ноябрь" sheetId="5" r:id="rId5"/>
    <sheet name="ЗП декабрь" sheetId="6" r:id="rId6"/>
    <sheet name="Итоги за квартал" sheetId="7" r:id="rId7"/>
    <sheet name="Оклад" sheetId="9" r:id="rId8"/>
    <sheet name="Итоги" sheetId="10" r:id="rId9"/>
    <sheet name="Выручка" sheetId="11" r:id="rId10"/>
    <sheet name="Расходы" sheetId="12" r:id="rId11"/>
    <sheet name="Учет заказов" sheetId="8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0" l="1"/>
  <c r="B3" i="10"/>
  <c r="B2" i="10"/>
  <c r="C8" i="12"/>
  <c r="F13" i="11"/>
  <c r="F4" i="11"/>
  <c r="F5" i="11"/>
  <c r="F6" i="11"/>
  <c r="F7" i="11"/>
  <c r="F8" i="11"/>
  <c r="F9" i="11"/>
  <c r="F10" i="11"/>
  <c r="F11" i="11"/>
  <c r="F12" i="11"/>
  <c r="F3" i="11"/>
  <c r="D4" i="11"/>
  <c r="D5" i="11"/>
  <c r="D6" i="11"/>
  <c r="D7" i="11"/>
  <c r="D8" i="11"/>
  <c r="D9" i="11"/>
  <c r="D10" i="11"/>
  <c r="D11" i="11"/>
  <c r="D12" i="11"/>
  <c r="D3" i="11"/>
  <c r="G21" i="9"/>
  <c r="G20" i="9"/>
  <c r="D9" i="9"/>
  <c r="E9" i="9"/>
  <c r="F9" i="9" s="1"/>
  <c r="D10" i="9"/>
  <c r="E10" i="9"/>
  <c r="D11" i="9"/>
  <c r="E11" i="9"/>
  <c r="F11" i="9" s="1"/>
  <c r="G11" i="9" s="1"/>
  <c r="D12" i="9"/>
  <c r="E12" i="9"/>
  <c r="F12" i="9" s="1"/>
  <c r="D13" i="9"/>
  <c r="E13" i="9"/>
  <c r="D14" i="9"/>
  <c r="E14" i="9"/>
  <c r="F14" i="9" s="1"/>
  <c r="D15" i="9"/>
  <c r="E15" i="9"/>
  <c r="D16" i="9"/>
  <c r="E16" i="9"/>
  <c r="D17" i="9"/>
  <c r="E17" i="9"/>
  <c r="F17" i="9" s="1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3" i="8"/>
  <c r="E8" i="7"/>
  <c r="F5" i="7"/>
  <c r="F6" i="7"/>
  <c r="F19" i="7"/>
  <c r="F9" i="7"/>
  <c r="F14" i="7" s="1"/>
  <c r="F11" i="7"/>
  <c r="F16" i="7"/>
  <c r="F18" i="7"/>
  <c r="F15" i="7"/>
  <c r="F21" i="7" s="1"/>
  <c r="F13" i="7"/>
  <c r="F10" i="7"/>
  <c r="F20" i="7"/>
  <c r="F7" i="7"/>
  <c r="F12" i="7"/>
  <c r="F17" i="7"/>
  <c r="E5" i="7"/>
  <c r="E6" i="7"/>
  <c r="E19" i="7"/>
  <c r="E9" i="7"/>
  <c r="E14" i="7" s="1"/>
  <c r="E11" i="7"/>
  <c r="E16" i="7"/>
  <c r="E18" i="7"/>
  <c r="E15" i="7"/>
  <c r="E13" i="7"/>
  <c r="E10" i="7"/>
  <c r="E20" i="7"/>
  <c r="E7" i="7"/>
  <c r="E12" i="7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4" i="5"/>
  <c r="D17" i="7"/>
  <c r="D5" i="7"/>
  <c r="D6" i="7"/>
  <c r="D19" i="7"/>
  <c r="D9" i="7"/>
  <c r="D11" i="7"/>
  <c r="D16" i="7"/>
  <c r="D18" i="7"/>
  <c r="D15" i="7"/>
  <c r="D21" i="7" s="1"/>
  <c r="D13" i="7"/>
  <c r="D10" i="7"/>
  <c r="D20" i="7"/>
  <c r="D7" i="7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4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C26" i="7"/>
  <c r="C25" i="7"/>
  <c r="C24" i="7"/>
  <c r="C19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19" i="6" s="1"/>
  <c r="E17" i="6"/>
  <c r="D16" i="6"/>
  <c r="D15" i="6"/>
  <c r="D14" i="6"/>
  <c r="D13" i="6"/>
  <c r="D12" i="6"/>
  <c r="D11" i="6"/>
  <c r="D10" i="6"/>
  <c r="D9" i="6"/>
  <c r="D8" i="6"/>
  <c r="D7" i="6"/>
  <c r="D6" i="6"/>
  <c r="D19" i="6" s="1"/>
  <c r="D5" i="6"/>
  <c r="D4" i="6"/>
  <c r="D17" i="6"/>
  <c r="C22" i="5"/>
  <c r="C21" i="5"/>
  <c r="C20" i="5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5" i="4"/>
  <c r="C22" i="4"/>
  <c r="C21" i="4"/>
  <c r="C20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5" i="4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4" i="3"/>
  <c r="E4" i="3" s="1"/>
  <c r="C5" i="3"/>
  <c r="C6" i="3"/>
  <c r="C7" i="3"/>
  <c r="C8" i="3"/>
  <c r="C9" i="3"/>
  <c r="C10" i="3"/>
  <c r="C4" i="3"/>
  <c r="A19" i="1"/>
  <c r="A20" i="1"/>
  <c r="A18" i="1"/>
  <c r="A17" i="1"/>
  <c r="A16" i="1"/>
  <c r="A15" i="1"/>
  <c r="F13" i="1"/>
  <c r="G13" i="1"/>
  <c r="G7" i="1"/>
  <c r="G8" i="1"/>
  <c r="G9" i="1"/>
  <c r="G10" i="1"/>
  <c r="G11" i="1"/>
  <c r="G12" i="1"/>
  <c r="G6" i="1"/>
  <c r="F7" i="1"/>
  <c r="F8" i="1"/>
  <c r="F9" i="1"/>
  <c r="F10" i="1"/>
  <c r="F11" i="1"/>
  <c r="F12" i="1"/>
  <c r="F6" i="1"/>
  <c r="E12" i="1"/>
  <c r="E7" i="1"/>
  <c r="E8" i="1"/>
  <c r="E9" i="1"/>
  <c r="E10" i="1"/>
  <c r="E11" i="1"/>
  <c r="E6" i="1"/>
  <c r="D7" i="1"/>
  <c r="D8" i="1"/>
  <c r="D9" i="1"/>
  <c r="D10" i="1"/>
  <c r="D11" i="1"/>
  <c r="D12" i="1"/>
  <c r="D6" i="1"/>
  <c r="F12" i="6"/>
  <c r="G12" i="6" s="1"/>
  <c r="F13" i="6"/>
  <c r="G13" i="6" s="1"/>
  <c r="F15" i="6"/>
  <c r="G15" i="6" s="1"/>
  <c r="F16" i="9" l="1"/>
  <c r="G16" i="9" s="1"/>
  <c r="F10" i="9"/>
  <c r="G10" i="9" s="1"/>
  <c r="F13" i="9"/>
  <c r="G13" i="9" s="1"/>
  <c r="G14" i="9"/>
  <c r="F15" i="9"/>
  <c r="G15" i="9" s="1"/>
  <c r="G12" i="9"/>
  <c r="G17" i="9"/>
  <c r="G9" i="9"/>
  <c r="D8" i="7"/>
  <c r="F8" i="7"/>
  <c r="F22" i="7" s="1"/>
  <c r="F8" i="6"/>
  <c r="G8" i="6" s="1"/>
  <c r="F9" i="6"/>
  <c r="G9" i="6" s="1"/>
  <c r="F4" i="6"/>
  <c r="F16" i="6"/>
  <c r="G16" i="6" s="1"/>
  <c r="F6" i="6"/>
  <c r="G6" i="6" s="1"/>
  <c r="F7" i="6"/>
  <c r="G7" i="6" s="1"/>
  <c r="F10" i="6"/>
  <c r="G10" i="6" s="1"/>
  <c r="F5" i="6"/>
  <c r="G5" i="6" s="1"/>
  <c r="F17" i="6"/>
  <c r="G17" i="6" s="1"/>
  <c r="F11" i="6"/>
  <c r="G11" i="6" s="1"/>
  <c r="F14" i="6"/>
  <c r="G14" i="6" s="1"/>
  <c r="H15" i="6"/>
  <c r="H12" i="6"/>
  <c r="H13" i="6"/>
  <c r="H9" i="6"/>
  <c r="G19" i="9" l="1"/>
  <c r="H8" i="6"/>
  <c r="G4" i="6"/>
  <c r="F19" i="6"/>
  <c r="H6" i="6"/>
  <c r="H16" i="6"/>
  <c r="H14" i="6"/>
  <c r="H7" i="6"/>
  <c r="H11" i="6"/>
  <c r="H5" i="6"/>
  <c r="H17" i="6"/>
  <c r="H10" i="6"/>
  <c r="G19" i="6" l="1"/>
  <c r="H4" i="6"/>
  <c r="C21" i="6" l="1"/>
  <c r="H19" i="6"/>
  <c r="C22" i="6"/>
  <c r="C20" i="6"/>
  <c r="F6" i="5"/>
  <c r="F11" i="5"/>
  <c r="F9" i="5"/>
  <c r="F17" i="5"/>
  <c r="D12" i="7" s="1"/>
  <c r="F16" i="5"/>
  <c r="F5" i="5"/>
  <c r="F7" i="5"/>
  <c r="F10" i="5"/>
  <c r="F12" i="5"/>
  <c r="F13" i="5"/>
  <c r="F15" i="5"/>
  <c r="F8" i="5"/>
  <c r="F4" i="5"/>
  <c r="F14" i="5"/>
  <c r="H14" i="5"/>
  <c r="H9" i="5"/>
  <c r="H17" i="5"/>
  <c r="H16" i="5"/>
  <c r="H13" i="5"/>
  <c r="H10" i="5"/>
  <c r="H15" i="5"/>
  <c r="H7" i="5"/>
  <c r="H8" i="5"/>
  <c r="H6" i="5"/>
  <c r="H11" i="5"/>
  <c r="H12" i="5"/>
  <c r="H5" i="5"/>
  <c r="H4" i="5"/>
  <c r="E17" i="7"/>
  <c r="E21" i="7" l="1"/>
  <c r="E22" i="7"/>
  <c r="D14" i="7"/>
  <c r="D22" i="7"/>
</calcChain>
</file>

<file path=xl/sharedStrings.xml><?xml version="1.0" encoding="utf-8"?>
<sst xmlns="http://schemas.openxmlformats.org/spreadsheetml/2006/main" count="275" uniqueCount="146">
  <si>
    <t>Районный коэффициент</t>
  </si>
  <si>
    <t xml:space="preserve">Ставка подоходного налога </t>
  </si>
  <si>
    <t>ведомость начисления з/п</t>
  </si>
  <si>
    <t>ФИО</t>
  </si>
  <si>
    <t>Оклад</t>
  </si>
  <si>
    <t xml:space="preserve"> Налог</t>
  </si>
  <si>
    <t>Районный коэф.</t>
  </si>
  <si>
    <t>Начислено</t>
  </si>
  <si>
    <t>Подоходный налог</t>
  </si>
  <si>
    <t>Сумма к выдаче</t>
  </si>
  <si>
    <t>Серова Н.Р.</t>
  </si>
  <si>
    <t>Яковлева И.О.</t>
  </si>
  <si>
    <t>Николаев И.В.</t>
  </si>
  <si>
    <t>Семенов А.Д</t>
  </si>
  <si>
    <t>Антонова Е.Н.</t>
  </si>
  <si>
    <t>Осипова А.Л.</t>
  </si>
  <si>
    <t>Миронов П.О.</t>
  </si>
  <si>
    <t>ИТОГО</t>
  </si>
  <si>
    <t>Максимальная сумма к выдаче</t>
  </si>
  <si>
    <t>Минимальный налог</t>
  </si>
  <si>
    <t>Средний оклад</t>
  </si>
  <si>
    <t>Рабочие, с окладом выше 16 000</t>
  </si>
  <si>
    <t>Суммарный подоходный налог рабочих, с налогом выше 0</t>
  </si>
  <si>
    <t>Суммарный подоходный налог рабочих, с окладом выше 16 000 руб. без налоговых вычетов</t>
  </si>
  <si>
    <t>"МАКС(G6:G12)"</t>
  </si>
  <si>
    <r>
      <t>"МИН(F6:F12)</t>
    </r>
    <r>
      <rPr>
        <b/>
        <sz val="11"/>
        <color theme="1"/>
        <rFont val="Calibri"/>
        <family val="2"/>
        <charset val="204"/>
        <scheme val="minor"/>
      </rPr>
      <t>"</t>
    </r>
  </si>
  <si>
    <t>"СРЗНАЧ(B6:B12)"</t>
  </si>
  <si>
    <t>"=СЧЁТЕСЛИ(B6:B12; "&gt;16000")"</t>
  </si>
  <si>
    <t>"=СУММЕСЛИ(C6:C12; "&gt;0"; F6:F12)"</t>
  </si>
  <si>
    <t>"=СУММЕСЛИМН(F6:F12; B6:B12; "&gt;16000"; C6:C12; 0)"</t>
  </si>
  <si>
    <t>Величина надбав- ки</t>
  </si>
  <si>
    <t>Итоговая сумма</t>
  </si>
  <si>
    <t>Сообщение о надбавке</t>
  </si>
  <si>
    <t>Расчет надбавки</t>
  </si>
  <si>
    <t>ВЕДОМОСТЬ НАЧИСЛЕНИЯ ЗП</t>
  </si>
  <si>
    <t>за октябрь 20____г.</t>
  </si>
  <si>
    <t>Табельный номер</t>
  </si>
  <si>
    <t xml:space="preserve">Премия </t>
  </si>
  <si>
    <t xml:space="preserve">Всего начислено </t>
  </si>
  <si>
    <t xml:space="preserve">Удержания </t>
  </si>
  <si>
    <t>К выдаче</t>
  </si>
  <si>
    <t>Петров И.Л.</t>
  </si>
  <si>
    <t>Иванов И.Г.</t>
  </si>
  <si>
    <t>Степанов А.Ш.</t>
  </si>
  <si>
    <t>Шорохо С.М</t>
  </si>
  <si>
    <t>Галкин В.Ж.</t>
  </si>
  <si>
    <t>Портнов М.Т.</t>
  </si>
  <si>
    <t>Орлова Н.Н.</t>
  </si>
  <si>
    <t>Степкина А.В.</t>
  </si>
  <si>
    <t>Жарова Г.А.</t>
  </si>
  <si>
    <t>Стольникова О.Д.</t>
  </si>
  <si>
    <t>Дрынкина С.С.</t>
  </si>
  <si>
    <t>Шпаро Н.Г.</t>
  </si>
  <si>
    <t>Шашкни Р.Н.</t>
  </si>
  <si>
    <t>Стелков Р.Х.</t>
  </si>
  <si>
    <t>Максимальный доход</t>
  </si>
  <si>
    <t>Минимальный доход</t>
  </si>
  <si>
    <t>Средний доход</t>
  </si>
  <si>
    <t>Всего:</t>
  </si>
  <si>
    <t>за ноябрь 20____г.</t>
  </si>
  <si>
    <t xml:space="preserve">Доплата </t>
  </si>
  <si>
    <t>за декабрь 20____г.</t>
  </si>
  <si>
    <t>за 4 квартал 20____г.</t>
  </si>
  <si>
    <t xml:space="preserve">Подразделение </t>
  </si>
  <si>
    <t xml:space="preserve">Отдел менеджмента </t>
  </si>
  <si>
    <t>Отдел реализации</t>
  </si>
  <si>
    <t>Бухгалтерия</t>
  </si>
  <si>
    <t>Бухгалтерия Итог</t>
  </si>
  <si>
    <t>Отдел менеджмента  Итог</t>
  </si>
  <si>
    <t>Отдел реализации Итог</t>
  </si>
  <si>
    <t>Общий итог</t>
  </si>
  <si>
    <t xml:space="preserve">Ведомость учета заказов </t>
  </si>
  <si>
    <t>ФИО заказчика</t>
  </si>
  <si>
    <t>Наименование товара</t>
  </si>
  <si>
    <t>Дата заказа</t>
  </si>
  <si>
    <t xml:space="preserve">Кол-во единиц товара в заказе </t>
  </si>
  <si>
    <t xml:space="preserve">Кол-во оплаченных единиц товара в заказе </t>
  </si>
  <si>
    <t>Цена единицы товара</t>
  </si>
  <si>
    <t>Стоимость заказа</t>
  </si>
  <si>
    <t>Белых А.П</t>
  </si>
  <si>
    <t>Михайлов Н.А.</t>
  </si>
  <si>
    <t>Седова Н.Р.</t>
  </si>
  <si>
    <t>Зотова А.Ф.</t>
  </si>
  <si>
    <t xml:space="preserve">Пароварка </t>
  </si>
  <si>
    <t>Мультиварка</t>
  </si>
  <si>
    <t>Миксер</t>
  </si>
  <si>
    <t>Чайник</t>
  </si>
  <si>
    <t>Блендер</t>
  </si>
  <si>
    <t>Кофеварка</t>
  </si>
  <si>
    <t>Кофемолка</t>
  </si>
  <si>
    <t>Тостер</t>
  </si>
  <si>
    <t xml:space="preserve">Оклад работников предприятия </t>
  </si>
  <si>
    <t>статус</t>
  </si>
  <si>
    <t>категория</t>
  </si>
  <si>
    <t>оклад</t>
  </si>
  <si>
    <t>премии</t>
  </si>
  <si>
    <t>начальник</t>
  </si>
  <si>
    <t>инженеры</t>
  </si>
  <si>
    <t>рабочие</t>
  </si>
  <si>
    <t>№</t>
  </si>
  <si>
    <t>Фамилия</t>
  </si>
  <si>
    <t>Категория</t>
  </si>
  <si>
    <t>Премии</t>
  </si>
  <si>
    <t>ПН</t>
  </si>
  <si>
    <t>ЗП</t>
  </si>
  <si>
    <t xml:space="preserve">ЗП работников </t>
  </si>
  <si>
    <t xml:space="preserve">Иванов </t>
  </si>
  <si>
    <t>Петров</t>
  </si>
  <si>
    <t>Сидоров</t>
  </si>
  <si>
    <t>Колобков</t>
  </si>
  <si>
    <t xml:space="preserve"> Петнегова</t>
  </si>
  <si>
    <t>Алексеева</t>
  </si>
  <si>
    <t xml:space="preserve"> Королев</t>
  </si>
  <si>
    <t>Бурин</t>
  </si>
  <si>
    <t>Еремина</t>
  </si>
  <si>
    <t>Итого</t>
  </si>
  <si>
    <t>Мин ЗП</t>
  </si>
  <si>
    <t>Макс ЗП</t>
  </si>
  <si>
    <t>Отчет о финансовых результатах предпиятия за сентябрь</t>
  </si>
  <si>
    <t>Выручка</t>
  </si>
  <si>
    <t>Расход</t>
  </si>
  <si>
    <t>Прибыль</t>
  </si>
  <si>
    <t>Имя товара</t>
  </si>
  <si>
    <t>Цена в долларах</t>
  </si>
  <si>
    <t>Цена в рублях</t>
  </si>
  <si>
    <t>кол-во товара</t>
  </si>
  <si>
    <t xml:space="preserve">Итого </t>
  </si>
  <si>
    <t xml:space="preserve">Курс Доллара </t>
  </si>
  <si>
    <t xml:space="preserve">Товар 1 </t>
  </si>
  <si>
    <t>Товар 2</t>
  </si>
  <si>
    <t>Товар 3</t>
  </si>
  <si>
    <t>Товар 4</t>
  </si>
  <si>
    <t>Товар 5</t>
  </si>
  <si>
    <t>Товар 6</t>
  </si>
  <si>
    <t>Товар 7</t>
  </si>
  <si>
    <t>Товар 8</t>
  </si>
  <si>
    <t>Товар 9</t>
  </si>
  <si>
    <t>Товар 10</t>
  </si>
  <si>
    <t>Выручка от товара за сентябрь</t>
  </si>
  <si>
    <t>Расходы</t>
  </si>
  <si>
    <t>Сумма в рублях</t>
  </si>
  <si>
    <t xml:space="preserve">Коммерчиские </t>
  </si>
  <si>
    <t>Канцелярские</t>
  </si>
  <si>
    <t>Транспортные</t>
  </si>
  <si>
    <t>Прочее</t>
  </si>
  <si>
    <t>Расходы за сентябрь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</si>
</sst>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[$$-409]#,##0.00"/>
    <numFmt numFmtId="169" formatCode="#,##0.00\ &quot;₽&quot;"/>
    <numFmt numFmtId="172" formatCode="#,##0.00\ _ш\ш\т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rgb="FF0A0A0A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1" xfId="0" applyBorder="1" applyAlignment="1">
      <alignment horizontal="center" wrapText="1"/>
    </xf>
    <xf numFmtId="9" fontId="0" fillId="0" borderId="1" xfId="0" applyNumberFormat="1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2" xfId="0" applyBorder="1"/>
    <xf numFmtId="0" fontId="0" fillId="0" borderId="8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/>
    </xf>
    <xf numFmtId="0" fontId="0" fillId="0" borderId="18" xfId="0" applyBorder="1"/>
    <xf numFmtId="0" fontId="0" fillId="0" borderId="0" xfId="0" applyAlignment="1">
      <alignment horizontal="center" vertical="center" wrapText="1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/>
    <xf numFmtId="0" fontId="3" fillId="0" borderId="2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3" fontId="0" fillId="0" borderId="0" xfId="0" applyNumberFormat="1"/>
    <xf numFmtId="9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4" fontId="0" fillId="0" borderId="0" xfId="0" applyNumberFormat="1"/>
    <xf numFmtId="0" fontId="0" fillId="0" borderId="1" xfId="0" applyBorder="1" applyAlignment="1" applyProtection="1">
      <alignment horizontal="center" vertical="center"/>
      <protection locked="0"/>
    </xf>
    <xf numFmtId="9" fontId="0" fillId="0" borderId="1" xfId="0" applyNumberFormat="1" applyBorder="1" applyAlignment="1" applyProtection="1">
      <alignment horizontal="center" vertical="center"/>
      <protection locked="0"/>
    </xf>
    <xf numFmtId="2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</xf>
    <xf numFmtId="2" fontId="0" fillId="0" borderId="1" xfId="0" applyNumberFormat="1" applyBorder="1" applyAlignment="1" applyProtection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/>
    <xf numFmtId="14" fontId="5" fillId="0" borderId="1" xfId="0" applyNumberFormat="1" applyFont="1" applyBorder="1" applyAlignment="1">
      <alignment vertical="center" wrapText="1"/>
    </xf>
    <xf numFmtId="0" fontId="0" fillId="0" borderId="31" xfId="0" applyFill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2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0" fillId="0" borderId="1" xfId="0" applyNumberFormat="1" applyBorder="1"/>
    <xf numFmtId="0" fontId="0" fillId="0" borderId="1" xfId="0" applyBorder="1" applyAlignment="1">
      <alignment horizontal="center" wrapText="1"/>
    </xf>
    <xf numFmtId="169" fontId="0" fillId="0" borderId="1" xfId="0" applyNumberFormat="1" applyBorder="1"/>
    <xf numFmtId="168" fontId="0" fillId="0" borderId="1" xfId="0" applyNumberFormat="1" applyBorder="1"/>
    <xf numFmtId="172" fontId="0" fillId="0" borderId="1" xfId="0" applyNumberFormat="1" applyBorder="1"/>
  </cellXfs>
  <cellStyles count="1">
    <cellStyle name="Обычный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color theme="9"/>
      </font>
    </dxf>
    <dxf>
      <font>
        <color rgb="FF0070C0"/>
      </font>
    </dxf>
    <dxf>
      <font>
        <color rgb="FF0070C0"/>
      </font>
      <fill>
        <patternFill>
          <bgColor rgb="FFFFC000"/>
        </patternFill>
      </fill>
    </dxf>
    <dxf>
      <font>
        <color theme="9"/>
      </font>
    </dxf>
    <dxf>
      <font>
        <color theme="0"/>
      </font>
      <fill>
        <patternFill>
          <fgColor theme="9"/>
        </patternFill>
      </fill>
    </dxf>
    <dxf>
      <font>
        <color theme="0"/>
      </font>
      <fill>
        <patternFill>
          <fgColor theme="9"/>
        </patternFill>
      </fill>
    </dxf>
    <dxf>
      <font>
        <color theme="2"/>
      </font>
      <fill>
        <patternFill>
          <bgColor theme="9"/>
        </patternFill>
      </fill>
    </dxf>
    <dxf>
      <font>
        <color rgb="FF9C0006"/>
      </font>
    </dxf>
    <dxf>
      <font>
        <color theme="1"/>
      </font>
      <fill>
        <patternFill>
          <bgColor rgb="FFFF6699"/>
        </patternFill>
      </fill>
    </dxf>
    <dxf>
      <font>
        <color theme="0"/>
      </font>
      <fill>
        <patternFill>
          <bgColor rgb="FFFF0066"/>
        </patternFill>
      </fill>
    </dxf>
    <dxf>
      <font>
        <color rgb="FF0070C0"/>
      </font>
      <fill>
        <patternFill>
          <bgColor rgb="FFFFC000"/>
        </patternFill>
      </fill>
    </dxf>
    <dxf>
      <font>
        <color theme="9"/>
      </font>
    </dxf>
    <dxf>
      <font>
        <color theme="0"/>
      </font>
      <fill>
        <patternFill>
          <fgColor theme="9"/>
        </patternFill>
      </fill>
    </dxf>
    <dxf>
      <font>
        <color theme="0"/>
      </font>
      <fill>
        <patternFill>
          <fgColor theme="9"/>
        </patternFill>
      </fill>
    </dxf>
    <dxf>
      <font>
        <color theme="2"/>
      </font>
      <fill>
        <patternFill>
          <bgColor theme="9"/>
        </patternFill>
      </fill>
    </dxf>
    <dxf>
      <font>
        <color rgb="FF9C0006"/>
      </font>
    </dxf>
    <dxf>
      <font>
        <color theme="1"/>
      </font>
      <fill>
        <patternFill>
          <bgColor rgb="FFFF6699"/>
        </patternFill>
      </fill>
    </dxf>
    <dxf>
      <font>
        <color theme="0"/>
      </font>
      <fill>
        <patternFill>
          <bgColor rgb="FFFF0066"/>
        </patternFill>
      </fill>
    </dxf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color theme="9"/>
      </font>
    </dxf>
    <dxf>
      <font>
        <color rgb="FF0070C0"/>
      </font>
    </dxf>
  </dxfs>
  <tableStyles count="0" defaultTableStyle="TableStyleMedium2" defaultPivotStyle="PivotStyleLight16"/>
  <colors>
    <mruColors>
      <color rgb="FFFF0066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Всего</a:t>
            </a:r>
            <a:r>
              <a:rPr lang="ru-RU" baseline="0"/>
              <a:t> начислено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'ЗП ноябрь'!$F$4:$F$17</c:f>
              <c:numCache>
                <c:formatCode>0.00</c:formatCode>
                <c:ptCount val="14"/>
                <c:pt idx="0">
                  <c:v>6165</c:v>
                </c:pt>
                <c:pt idx="1">
                  <c:v>6644.5</c:v>
                </c:pt>
                <c:pt idx="2">
                  <c:v>7124</c:v>
                </c:pt>
                <c:pt idx="3">
                  <c:v>7603.5</c:v>
                </c:pt>
                <c:pt idx="4">
                  <c:v>8083</c:v>
                </c:pt>
                <c:pt idx="5">
                  <c:v>8562.5</c:v>
                </c:pt>
                <c:pt idx="6">
                  <c:v>9042</c:v>
                </c:pt>
                <c:pt idx="7">
                  <c:v>9521.5</c:v>
                </c:pt>
                <c:pt idx="8">
                  <c:v>10001</c:v>
                </c:pt>
                <c:pt idx="9">
                  <c:v>10480.5</c:v>
                </c:pt>
                <c:pt idx="10">
                  <c:v>10960</c:v>
                </c:pt>
                <c:pt idx="11">
                  <c:v>11439.5</c:v>
                </c:pt>
                <c:pt idx="12">
                  <c:v>11919</c:v>
                </c:pt>
                <c:pt idx="13">
                  <c:v>12398.5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3A-4D11-96D8-9204F44C5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>
                <a:effectLst/>
              </a:rPr>
              <a:t>гистограмма доходов сотрудников</a:t>
            </a:r>
            <a:endParaRPr lang="ru-RU" sz="18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'ЗП декабрь'!$B$4:$B$17</c:f>
              <c:strCache>
                <c:ptCount val="14"/>
                <c:pt idx="0">
                  <c:v>Петров И.Л.</c:v>
                </c:pt>
                <c:pt idx="1">
                  <c:v>Иванов И.Г.</c:v>
                </c:pt>
                <c:pt idx="2">
                  <c:v>Степанов А.Ш.</c:v>
                </c:pt>
                <c:pt idx="3">
                  <c:v>Шорохо С.М</c:v>
                </c:pt>
                <c:pt idx="4">
                  <c:v>Галкин В.Ж.</c:v>
                </c:pt>
                <c:pt idx="5">
                  <c:v>Портнов М.Т.</c:v>
                </c:pt>
                <c:pt idx="6">
                  <c:v>Орлова Н.Н.</c:v>
                </c:pt>
                <c:pt idx="7">
                  <c:v>Степкина А.В.</c:v>
                </c:pt>
                <c:pt idx="8">
                  <c:v>Жарова Г.А.</c:v>
                </c:pt>
                <c:pt idx="9">
                  <c:v>Стольникова О.Д.</c:v>
                </c:pt>
                <c:pt idx="10">
                  <c:v>Дрынкина С.С.</c:v>
                </c:pt>
                <c:pt idx="11">
                  <c:v>Шпаро Н.Г.</c:v>
                </c:pt>
                <c:pt idx="12">
                  <c:v>Шашкни Р.Н.</c:v>
                </c:pt>
                <c:pt idx="13">
                  <c:v>Стелков Р.Х.</c:v>
                </c:pt>
              </c:strCache>
            </c:strRef>
          </c:cat>
          <c:val>
            <c:numRef>
              <c:f>'ЗП декабрь'!$H$4:$H$17</c:f>
              <c:numCache>
                <c:formatCode>0.00</c:formatCode>
                <c:ptCount val="14"/>
                <c:pt idx="0">
                  <c:v>6029.1</c:v>
                </c:pt>
                <c:pt idx="1">
                  <c:v>6498.03</c:v>
                </c:pt>
                <c:pt idx="2">
                  <c:v>6966.96</c:v>
                </c:pt>
                <c:pt idx="3">
                  <c:v>7435.8899999999994</c:v>
                </c:pt>
                <c:pt idx="4">
                  <c:v>7904.82</c:v>
                </c:pt>
                <c:pt idx="5">
                  <c:v>8373.75</c:v>
                </c:pt>
                <c:pt idx="6">
                  <c:v>8842.68</c:v>
                </c:pt>
                <c:pt idx="7">
                  <c:v>9311.61</c:v>
                </c:pt>
                <c:pt idx="8">
                  <c:v>9780.5400000000009</c:v>
                </c:pt>
                <c:pt idx="9">
                  <c:v>10249.469999999999</c:v>
                </c:pt>
                <c:pt idx="10">
                  <c:v>10718.4</c:v>
                </c:pt>
                <c:pt idx="11">
                  <c:v>11187.33</c:v>
                </c:pt>
                <c:pt idx="12">
                  <c:v>11656.26</c:v>
                </c:pt>
                <c:pt idx="13">
                  <c:v>12125.19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6E-4A25-ABBD-A85DBB4ED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03888656"/>
        <c:axId val="1203902384"/>
        <c:axId val="0"/>
      </c:bar3DChart>
      <c:catAx>
        <c:axId val="120388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3902384"/>
        <c:crosses val="autoZero"/>
        <c:auto val="1"/>
        <c:lblAlgn val="ctr"/>
        <c:lblOffset val="100"/>
        <c:noMultiLvlLbl val="0"/>
      </c:catAx>
      <c:valAx>
        <c:axId val="120390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388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Оклад!$B$9:$B$17</c:f>
              <c:strCache>
                <c:ptCount val="9"/>
                <c:pt idx="0">
                  <c:v>Иванов </c:v>
                </c:pt>
                <c:pt idx="1">
                  <c:v>Петров</c:v>
                </c:pt>
                <c:pt idx="2">
                  <c:v>Сидоров</c:v>
                </c:pt>
                <c:pt idx="3">
                  <c:v>Колобков</c:v>
                </c:pt>
                <c:pt idx="4">
                  <c:v> Петнегова</c:v>
                </c:pt>
                <c:pt idx="5">
                  <c:v>Алексеева</c:v>
                </c:pt>
                <c:pt idx="6">
                  <c:v> Королев</c:v>
                </c:pt>
                <c:pt idx="7">
                  <c:v>Бурин</c:v>
                </c:pt>
                <c:pt idx="8">
                  <c:v>Еремина</c:v>
                </c:pt>
              </c:strCache>
            </c:strRef>
          </c:cat>
          <c:val>
            <c:numRef>
              <c:f>Оклад!$G$9:$G$17</c:f>
              <c:numCache>
                <c:formatCode>0.00</c:formatCode>
                <c:ptCount val="9"/>
                <c:pt idx="0">
                  <c:v>11701.630499999999</c:v>
                </c:pt>
                <c:pt idx="1">
                  <c:v>7762.4618999999993</c:v>
                </c:pt>
                <c:pt idx="2">
                  <c:v>11701.630499999999</c:v>
                </c:pt>
                <c:pt idx="3">
                  <c:v>7762.4618999999993</c:v>
                </c:pt>
                <c:pt idx="4">
                  <c:v>7762.4618999999993</c:v>
                </c:pt>
                <c:pt idx="5">
                  <c:v>7762.4618999999993</c:v>
                </c:pt>
                <c:pt idx="6">
                  <c:v>15883.329000000002</c:v>
                </c:pt>
                <c:pt idx="7">
                  <c:v>7762.4618999999993</c:v>
                </c:pt>
                <c:pt idx="8">
                  <c:v>7762.4618999999993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E4-44AC-8C13-7E01D4DCB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69237264"/>
        <c:axId val="1169229776"/>
        <c:axId val="0"/>
      </c:bar3DChart>
      <c:catAx>
        <c:axId val="116923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9229776"/>
        <c:crosses val="autoZero"/>
        <c:auto val="1"/>
        <c:lblAlgn val="ctr"/>
        <c:lblOffset val="100"/>
        <c:noMultiLvlLbl val="0"/>
      </c:catAx>
      <c:valAx>
        <c:axId val="116922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923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576262</xdr:colOff>
      <xdr:row>1</xdr:row>
      <xdr:rowOff>119062</xdr:rowOff>
    </xdr:from>
    <xdr:to>
      <xdr:col>16</xdr:col>
      <xdr:colOff>271462</xdr:colOff>
      <xdr:row>16</xdr:row>
      <xdr:rowOff>4762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35A6B53-771E-4331-90E1-1EE7CF09BB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247650</xdr:colOff>
      <xdr:row>2</xdr:row>
      <xdr:rowOff>42862</xdr:rowOff>
    </xdr:from>
    <xdr:to>
      <xdr:col>15</xdr:col>
      <xdr:colOff>552450</xdr:colOff>
      <xdr:row>16</xdr:row>
      <xdr:rowOff>119062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C149D86-010B-43CC-B25C-C6848B3C28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171450</xdr:colOff>
      <xdr:row>5</xdr:row>
      <xdr:rowOff>4762</xdr:rowOff>
    </xdr:from>
    <xdr:to>
      <xdr:col>15</xdr:col>
      <xdr:colOff>476250</xdr:colOff>
      <xdr:row>19</xdr:row>
      <xdr:rowOff>80962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A57D3F2-7252-4AD1-A53D-751AF9BAF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G4" activeCellId="1" sqref="A4:A12 G4:G12"/>
    </sheetView>
  </sheetViews>
  <sheetFormatPr defaultRowHeight="15" x14ac:dyDescent="0.25"/>
  <cols>
    <col min="1" max="1" width="17.85546875" customWidth="1"/>
    <col min="2" max="2" width="19.42578125" customWidth="1"/>
    <col min="4" max="4" width="11.7109375" customWidth="1"/>
  </cols>
  <sheetData>
    <row r="1" spans="1:7" ht="30" customHeight="1" x14ac:dyDescent="0.25">
      <c r="A1" s="1" t="s">
        <v>0</v>
      </c>
      <c r="B1" s="1" t="s">
        <v>1</v>
      </c>
    </row>
    <row r="2" spans="1:7" x14ac:dyDescent="0.25">
      <c r="A2" s="2">
        <v>0.3</v>
      </c>
      <c r="B2" s="2">
        <v>0.13</v>
      </c>
    </row>
    <row r="3" spans="1:7" ht="15.75" thickBot="1" x14ac:dyDescent="0.3">
      <c r="A3" s="24" t="s">
        <v>2</v>
      </c>
      <c r="B3" s="24"/>
      <c r="C3" s="24"/>
      <c r="D3" s="24"/>
      <c r="E3" s="24"/>
      <c r="F3" s="24"/>
      <c r="G3" s="24"/>
    </row>
    <row r="4" spans="1:7" ht="28.5" customHeight="1" thickBot="1" x14ac:dyDescent="0.3">
      <c r="A4" s="13" t="s">
        <v>3</v>
      </c>
      <c r="B4" s="9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8" t="s">
        <v>9</v>
      </c>
    </row>
    <row r="5" spans="1:7" ht="15.75" thickBot="1" x14ac:dyDescent="0.3">
      <c r="A5" s="14">
        <v>1</v>
      </c>
      <c r="B5" s="10">
        <v>2</v>
      </c>
      <c r="C5" s="5">
        <v>3</v>
      </c>
      <c r="D5" s="5">
        <v>4</v>
      </c>
      <c r="E5" s="5">
        <v>5</v>
      </c>
      <c r="F5" s="5">
        <v>6</v>
      </c>
      <c r="G5" s="6">
        <v>7</v>
      </c>
    </row>
    <row r="6" spans="1:7" x14ac:dyDescent="0.25">
      <c r="A6" s="15" t="s">
        <v>10</v>
      </c>
      <c r="B6" s="11">
        <v>14200</v>
      </c>
      <c r="C6" s="4">
        <v>1400</v>
      </c>
      <c r="D6" s="4">
        <f>B6*$A$2</f>
        <v>4260</v>
      </c>
      <c r="E6" s="4">
        <f>D6+B6</f>
        <v>18460</v>
      </c>
      <c r="F6" s="4">
        <f>(E6-C6)*$B$2</f>
        <v>2217.8000000000002</v>
      </c>
      <c r="G6" s="4">
        <f>E6-F6</f>
        <v>16242.2</v>
      </c>
    </row>
    <row r="7" spans="1:7" x14ac:dyDescent="0.25">
      <c r="A7" s="16" t="s">
        <v>11</v>
      </c>
      <c r="B7" s="12">
        <v>15600</v>
      </c>
      <c r="C7" s="3">
        <v>0</v>
      </c>
      <c r="D7" s="3">
        <f t="shared" ref="D7:D12" si="0">B7*$A$2</f>
        <v>4680</v>
      </c>
      <c r="E7" s="3">
        <f t="shared" ref="E7:E11" si="1">D7+B7</f>
        <v>20280</v>
      </c>
      <c r="F7" s="3">
        <f t="shared" ref="F7:F12" si="2">(E7-C7)*$B$2</f>
        <v>2636.4</v>
      </c>
      <c r="G7" s="3">
        <f t="shared" ref="G7:G12" si="3">E7-F7</f>
        <v>17643.599999999999</v>
      </c>
    </row>
    <row r="8" spans="1:7" x14ac:dyDescent="0.25">
      <c r="A8" s="16" t="s">
        <v>12</v>
      </c>
      <c r="B8" s="12">
        <v>18000</v>
      </c>
      <c r="C8" s="3">
        <v>400</v>
      </c>
      <c r="D8" s="3">
        <f t="shared" si="0"/>
        <v>5400</v>
      </c>
      <c r="E8" s="3">
        <f t="shared" si="1"/>
        <v>23400</v>
      </c>
      <c r="F8" s="3">
        <f t="shared" si="2"/>
        <v>2990</v>
      </c>
      <c r="G8" s="3">
        <f t="shared" si="3"/>
        <v>20410</v>
      </c>
    </row>
    <row r="9" spans="1:7" x14ac:dyDescent="0.25">
      <c r="A9" s="16" t="s">
        <v>13</v>
      </c>
      <c r="B9" s="12">
        <v>12300</v>
      </c>
      <c r="C9" s="3">
        <v>0</v>
      </c>
      <c r="D9" s="3">
        <f t="shared" si="0"/>
        <v>3690</v>
      </c>
      <c r="E9" s="3">
        <f t="shared" si="1"/>
        <v>15990</v>
      </c>
      <c r="F9" s="3">
        <f t="shared" si="2"/>
        <v>2078.7000000000003</v>
      </c>
      <c r="G9" s="3">
        <f t="shared" si="3"/>
        <v>13911.3</v>
      </c>
    </row>
    <row r="10" spans="1:7" x14ac:dyDescent="0.25">
      <c r="A10" s="16" t="s">
        <v>14</v>
      </c>
      <c r="B10" s="12">
        <v>23500</v>
      </c>
      <c r="C10" s="3">
        <v>0</v>
      </c>
      <c r="D10" s="3">
        <f t="shared" si="0"/>
        <v>7050</v>
      </c>
      <c r="E10" s="3">
        <f t="shared" si="1"/>
        <v>30550</v>
      </c>
      <c r="F10" s="3">
        <f t="shared" si="2"/>
        <v>3971.5</v>
      </c>
      <c r="G10" s="3">
        <f t="shared" si="3"/>
        <v>26578.5</v>
      </c>
    </row>
    <row r="11" spans="1:7" x14ac:dyDescent="0.25">
      <c r="A11" s="16" t="s">
        <v>15</v>
      </c>
      <c r="B11" s="12">
        <v>19600</v>
      </c>
      <c r="C11" s="3">
        <v>2800</v>
      </c>
      <c r="D11" s="3">
        <f t="shared" si="0"/>
        <v>5880</v>
      </c>
      <c r="E11" s="3">
        <f t="shared" si="1"/>
        <v>25480</v>
      </c>
      <c r="F11" s="3">
        <f t="shared" si="2"/>
        <v>2948.4</v>
      </c>
      <c r="G11" s="3">
        <f t="shared" si="3"/>
        <v>22531.599999999999</v>
      </c>
    </row>
    <row r="12" spans="1:7" ht="15.75" thickBot="1" x14ac:dyDescent="0.3">
      <c r="A12" s="17" t="s">
        <v>16</v>
      </c>
      <c r="B12" s="18">
        <v>16500</v>
      </c>
      <c r="C12" s="19">
        <v>0</v>
      </c>
      <c r="D12" s="19">
        <f t="shared" si="0"/>
        <v>4950</v>
      </c>
      <c r="E12" s="19">
        <f>D12+B12</f>
        <v>21450</v>
      </c>
      <c r="F12" s="19">
        <f t="shared" si="2"/>
        <v>2788.5</v>
      </c>
      <c r="G12" s="19">
        <f t="shared" si="3"/>
        <v>18661.5</v>
      </c>
    </row>
    <row r="13" spans="1:7" ht="15.75" thickBot="1" x14ac:dyDescent="0.3">
      <c r="A13" s="20" t="s">
        <v>17</v>
      </c>
      <c r="B13" s="21"/>
      <c r="C13" s="22"/>
      <c r="D13" s="22"/>
      <c r="E13" s="22"/>
      <c r="F13" s="22">
        <f>SUM(F6:F12)</f>
        <v>19631.300000000003</v>
      </c>
      <c r="G13" s="23">
        <f>SUM(G6:G12)</f>
        <v>135978.70000000001</v>
      </c>
    </row>
    <row r="15" spans="1:7" x14ac:dyDescent="0.25">
      <c r="A15">
        <f>MAX(G6:G12)</f>
        <v>26578.5</v>
      </c>
      <c r="B15" t="s">
        <v>18</v>
      </c>
    </row>
    <row r="16" spans="1:7" x14ac:dyDescent="0.25">
      <c r="A16">
        <f>MIN(F6:F12)</f>
        <v>2078.7000000000003</v>
      </c>
      <c r="B16" t="s">
        <v>19</v>
      </c>
    </row>
    <row r="17" spans="1:2" x14ac:dyDescent="0.25">
      <c r="A17">
        <f>AVERAGE(B6:B12)</f>
        <v>17100</v>
      </c>
      <c r="B17" t="s">
        <v>20</v>
      </c>
    </row>
    <row r="18" spans="1:2" x14ac:dyDescent="0.25">
      <c r="A18">
        <f>COUNTIF(B6:B12, "&gt;16000")</f>
        <v>4</v>
      </c>
      <c r="B18" t="s">
        <v>21</v>
      </c>
    </row>
    <row r="19" spans="1:2" x14ac:dyDescent="0.25">
      <c r="A19">
        <f>SUMIF(C6:C12, "&gt;0", F6:F12)</f>
        <v>8156.2000000000007</v>
      </c>
      <c r="B19" t="s">
        <v>22</v>
      </c>
    </row>
    <row r="20" spans="1:2" x14ac:dyDescent="0.25">
      <c r="A20">
        <f>SUMIFS(F6:F12, B6:B12, "&gt;16000", C6:C12, 0)</f>
        <v>6760</v>
      </c>
      <c r="B20" t="s">
        <v>23</v>
      </c>
    </row>
  </sheetData>
  <mergeCells count="1">
    <mergeCell ref="A3:G3"/>
  </mergeCells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92498-D20C-4A2F-904E-BEEC4BC61200}">
  <dimension ref="A1:B6"/>
  <sheetViews>
    <sheetView workbookViewId="0">
      <selection activeCell="B11" sqref="B11"/>
    </sheetView>
  </sheetViews>
  <sheetFormatPr defaultRowHeight="15" x14ac:dyDescent="0.25"/>
  <cols>
    <col min="1" max="1" width="49.7109375" customWidth="1"/>
  </cols>
  <sheetData>
    <row r="1" spans="1:2" x14ac:dyDescent="0.25">
      <c r="A1" t="s">
        <v>24</v>
      </c>
      <c r="B1" t="s">
        <v>18</v>
      </c>
    </row>
    <row r="2" spans="1:2" x14ac:dyDescent="0.25">
      <c r="A2" t="s">
        <v>25</v>
      </c>
      <c r="B2" t="s">
        <v>19</v>
      </c>
    </row>
    <row r="3" spans="1:2" x14ac:dyDescent="0.25">
      <c r="A3" t="s">
        <v>26</v>
      </c>
      <c r="B3" t="s">
        <v>20</v>
      </c>
    </row>
    <row r="4" spans="1:2" x14ac:dyDescent="0.25">
      <c r="A4" t="s">
        <v>27</v>
      </c>
      <c r="B4" t="s">
        <v>21</v>
      </c>
    </row>
    <row r="5" spans="1:2" x14ac:dyDescent="0.25">
      <c r="A5" t="s">
        <v>28</v>
      </c>
      <c r="B5" t="s">
        <v>22</v>
      </c>
    </row>
    <row r="6" spans="1:2" x14ac:dyDescent="0.25">
      <c r="A6" t="s">
        <v>29</v>
      </c>
      <c r="B6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CABF9-D8F4-4A5E-8C21-45ABDF83A1CC}">
  <dimension ref="A1:E10"/>
  <sheetViews>
    <sheetView workbookViewId="0">
      <selection activeCell="I14" sqref="I14"/>
    </sheetView>
  </sheetViews>
  <sheetFormatPr defaultRowHeight="15" x14ac:dyDescent="0.25"/>
  <cols>
    <col min="1" max="1" width="16.140625" customWidth="1"/>
    <col min="2" max="2" width="12.85546875" customWidth="1"/>
    <col min="3" max="3" width="16.85546875" customWidth="1"/>
    <col min="4" max="4" width="15.7109375" customWidth="1"/>
    <col min="5" max="5" width="11" customWidth="1"/>
    <col min="6" max="6" width="11.28515625" customWidth="1"/>
  </cols>
  <sheetData>
    <row r="1" spans="1:5" ht="21" customHeight="1" thickBot="1" x14ac:dyDescent="0.3">
      <c r="A1" s="40" t="s">
        <v>33</v>
      </c>
      <c r="B1" s="41"/>
      <c r="C1" s="41"/>
      <c r="D1" s="41"/>
      <c r="E1" s="42"/>
    </row>
    <row r="2" spans="1:5" ht="32.25" thickBot="1" x14ac:dyDescent="0.3">
      <c r="A2" s="13" t="s">
        <v>3</v>
      </c>
      <c r="B2" s="8" t="s">
        <v>9</v>
      </c>
      <c r="C2" s="39" t="s">
        <v>32</v>
      </c>
      <c r="D2" s="39" t="s">
        <v>30</v>
      </c>
      <c r="E2" s="39" t="s">
        <v>31</v>
      </c>
    </row>
    <row r="3" spans="1:5" ht="15.75" thickBot="1" x14ac:dyDescent="0.3">
      <c r="A3" s="20">
        <v>1</v>
      </c>
      <c r="B3" s="23">
        <v>2</v>
      </c>
      <c r="C3" s="30">
        <v>3</v>
      </c>
      <c r="D3" s="38">
        <v>4</v>
      </c>
      <c r="E3" s="30">
        <v>5</v>
      </c>
    </row>
    <row r="4" spans="1:5" x14ac:dyDescent="0.25">
      <c r="A4" s="15" t="s">
        <v>10</v>
      </c>
      <c r="B4" s="27">
        <v>16242.2</v>
      </c>
      <c r="C4" s="35" t="str">
        <f>IF(B4&lt;20000,"Да","Нет")</f>
        <v>Да</v>
      </c>
      <c r="D4" s="35">
        <f>IF(B4&lt;20000,B4*0.2,0)</f>
        <v>3248.4400000000005</v>
      </c>
      <c r="E4" s="32">
        <f>D4+B4</f>
        <v>19490.64</v>
      </c>
    </row>
    <row r="5" spans="1:5" x14ac:dyDescent="0.25">
      <c r="A5" s="16" t="s">
        <v>11</v>
      </c>
      <c r="B5" s="28">
        <v>17643.599999999999</v>
      </c>
      <c r="C5" s="36" t="str">
        <f t="shared" ref="C5:C10" si="0">IF(B5&lt;20000,"Да","Нет")</f>
        <v>Да</v>
      </c>
      <c r="D5" s="36">
        <f t="shared" ref="D5:D10" si="1">IF(B5&lt;20000,B5*0.2,0)</f>
        <v>3528.72</v>
      </c>
      <c r="E5" s="33">
        <f t="shared" ref="E5:E10" si="2">D5+B5</f>
        <v>21172.32</v>
      </c>
    </row>
    <row r="6" spans="1:5" x14ac:dyDescent="0.25">
      <c r="A6" s="16" t="s">
        <v>12</v>
      </c>
      <c r="B6" s="28">
        <v>20410</v>
      </c>
      <c r="C6" s="36" t="str">
        <f t="shared" si="0"/>
        <v>Нет</v>
      </c>
      <c r="D6" s="36">
        <f t="shared" si="1"/>
        <v>0</v>
      </c>
      <c r="E6" s="33">
        <f t="shared" si="2"/>
        <v>20410</v>
      </c>
    </row>
    <row r="7" spans="1:5" x14ac:dyDescent="0.25">
      <c r="A7" s="16" t="s">
        <v>13</v>
      </c>
      <c r="B7" s="28">
        <v>13911.3</v>
      </c>
      <c r="C7" s="36" t="str">
        <f t="shared" si="0"/>
        <v>Да</v>
      </c>
      <c r="D7" s="36">
        <f t="shared" si="1"/>
        <v>2782.26</v>
      </c>
      <c r="E7" s="33">
        <f t="shared" si="2"/>
        <v>16693.559999999998</v>
      </c>
    </row>
    <row r="8" spans="1:5" x14ac:dyDescent="0.25">
      <c r="A8" s="16" t="s">
        <v>14</v>
      </c>
      <c r="B8" s="28">
        <v>26578.5</v>
      </c>
      <c r="C8" s="36" t="str">
        <f t="shared" si="0"/>
        <v>Нет</v>
      </c>
      <c r="D8" s="36">
        <f t="shared" si="1"/>
        <v>0</v>
      </c>
      <c r="E8" s="33">
        <f t="shared" si="2"/>
        <v>26578.5</v>
      </c>
    </row>
    <row r="9" spans="1:5" x14ac:dyDescent="0.25">
      <c r="A9" s="16" t="s">
        <v>15</v>
      </c>
      <c r="B9" s="28">
        <v>22531.599999999999</v>
      </c>
      <c r="C9" s="36" t="str">
        <f t="shared" si="0"/>
        <v>Нет</v>
      </c>
      <c r="D9" s="36">
        <f t="shared" si="1"/>
        <v>0</v>
      </c>
      <c r="E9" s="33">
        <f t="shared" si="2"/>
        <v>22531.599999999999</v>
      </c>
    </row>
    <row r="10" spans="1:5" ht="15.75" thickBot="1" x14ac:dyDescent="0.3">
      <c r="A10" s="25" t="s">
        <v>16</v>
      </c>
      <c r="B10" s="29">
        <v>18661.5</v>
      </c>
      <c r="C10" s="37" t="str">
        <f t="shared" si="0"/>
        <v>Да</v>
      </c>
      <c r="D10" s="37">
        <f t="shared" si="1"/>
        <v>3732.3</v>
      </c>
      <c r="E10" s="34">
        <f t="shared" si="2"/>
        <v>22393.8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B5198-A706-4467-A6FA-2B87A8562C0C}">
  <dimension ref="A1:G22"/>
  <sheetViews>
    <sheetView workbookViewId="0">
      <selection activeCell="F5" sqref="F5"/>
    </sheetView>
  </sheetViews>
  <sheetFormatPr defaultRowHeight="15" x14ac:dyDescent="0.25"/>
  <cols>
    <col min="1" max="1" width="17.85546875" bestFit="1" customWidth="1"/>
    <col min="2" max="2" width="17.42578125" bestFit="1" customWidth="1"/>
    <col min="3" max="3" width="7.5703125" bestFit="1" customWidth="1"/>
    <col min="4" max="4" width="8.5703125" bestFit="1" customWidth="1"/>
    <col min="5" max="5" width="16.7109375" bestFit="1" customWidth="1"/>
    <col min="6" max="6" width="11.7109375" bestFit="1" customWidth="1"/>
    <col min="7" max="7" width="9.28515625" bestFit="1" customWidth="1"/>
  </cols>
  <sheetData>
    <row r="1" spans="1:7" x14ac:dyDescent="0.25">
      <c r="A1" s="24" t="s">
        <v>34</v>
      </c>
      <c r="B1" s="24"/>
      <c r="C1" s="24"/>
      <c r="D1" s="24"/>
      <c r="E1" s="24"/>
      <c r="F1" s="24"/>
      <c r="G1" s="24"/>
    </row>
    <row r="2" spans="1:7" x14ac:dyDescent="0.25">
      <c r="A2" s="24" t="s">
        <v>35</v>
      </c>
      <c r="B2" s="24"/>
      <c r="C2" s="24"/>
      <c r="D2" s="24"/>
      <c r="E2" s="24"/>
      <c r="F2" s="24"/>
      <c r="G2" s="24"/>
    </row>
    <row r="3" spans="1:7" x14ac:dyDescent="0.25">
      <c r="A3" s="48" t="s">
        <v>36</v>
      </c>
      <c r="B3" s="48" t="s">
        <v>3</v>
      </c>
      <c r="C3" s="48" t="s">
        <v>4</v>
      </c>
      <c r="D3" s="48" t="s">
        <v>37</v>
      </c>
      <c r="E3" s="48" t="s">
        <v>38</v>
      </c>
      <c r="F3" s="48" t="s">
        <v>39</v>
      </c>
      <c r="G3" s="48" t="s">
        <v>40</v>
      </c>
    </row>
    <row r="4" spans="1:7" x14ac:dyDescent="0.25">
      <c r="A4" s="48"/>
      <c r="B4" s="48"/>
      <c r="C4" s="50"/>
      <c r="D4" s="49">
        <v>0.27</v>
      </c>
      <c r="E4" s="50"/>
      <c r="F4" s="49">
        <v>0.13</v>
      </c>
      <c r="G4" s="50"/>
    </row>
    <row r="5" spans="1:7" x14ac:dyDescent="0.25">
      <c r="A5" s="48">
        <v>200</v>
      </c>
      <c r="B5" s="48" t="s">
        <v>41</v>
      </c>
      <c r="C5" s="50">
        <v>4500</v>
      </c>
      <c r="D5" s="51">
        <f>$D$4*C5</f>
        <v>1215</v>
      </c>
      <c r="E5" s="52">
        <f>C5+D5</f>
        <v>5715</v>
      </c>
      <c r="F5" s="51">
        <f xml:space="preserve"> $F$4*E5</f>
        <v>742.95</v>
      </c>
      <c r="G5" s="52">
        <f>E5-F5</f>
        <v>4972.05</v>
      </c>
    </row>
    <row r="6" spans="1:7" x14ac:dyDescent="0.25">
      <c r="A6" s="48">
        <v>201</v>
      </c>
      <c r="B6" s="48" t="s">
        <v>42</v>
      </c>
      <c r="C6" s="50">
        <v>4850</v>
      </c>
      <c r="D6" s="51">
        <f t="shared" ref="D6:D18" si="0">$D$4*C6</f>
        <v>1309.5</v>
      </c>
      <c r="E6" s="52">
        <f t="shared" ref="E6:E18" si="1">C6+D6</f>
        <v>6159.5</v>
      </c>
      <c r="F6" s="51">
        <f t="shared" ref="F6:F18" si="2" xml:space="preserve"> $F$4*E6</f>
        <v>800.73500000000001</v>
      </c>
      <c r="G6" s="52">
        <f t="shared" ref="G6:G18" si="3">E6-F6</f>
        <v>5358.7650000000003</v>
      </c>
    </row>
    <row r="7" spans="1:7" x14ac:dyDescent="0.25">
      <c r="A7" s="48">
        <v>202</v>
      </c>
      <c r="B7" s="48" t="s">
        <v>43</v>
      </c>
      <c r="C7" s="50">
        <v>5200</v>
      </c>
      <c r="D7" s="51">
        <f t="shared" si="0"/>
        <v>1404</v>
      </c>
      <c r="E7" s="52">
        <f t="shared" si="1"/>
        <v>6604</v>
      </c>
      <c r="F7" s="51">
        <f t="shared" si="2"/>
        <v>858.52</v>
      </c>
      <c r="G7" s="52">
        <f t="shared" si="3"/>
        <v>5745.48</v>
      </c>
    </row>
    <row r="8" spans="1:7" x14ac:dyDescent="0.25">
      <c r="A8" s="48">
        <v>203</v>
      </c>
      <c r="B8" s="48" t="s">
        <v>44</v>
      </c>
      <c r="C8" s="50">
        <v>5550</v>
      </c>
      <c r="D8" s="51">
        <f t="shared" si="0"/>
        <v>1498.5</v>
      </c>
      <c r="E8" s="52">
        <f t="shared" si="1"/>
        <v>7048.5</v>
      </c>
      <c r="F8" s="51">
        <f t="shared" si="2"/>
        <v>916.30500000000006</v>
      </c>
      <c r="G8" s="52">
        <f t="shared" si="3"/>
        <v>6132.1949999999997</v>
      </c>
    </row>
    <row r="9" spans="1:7" x14ac:dyDescent="0.25">
      <c r="A9" s="48">
        <v>204</v>
      </c>
      <c r="B9" s="48" t="s">
        <v>45</v>
      </c>
      <c r="C9" s="50">
        <v>5900</v>
      </c>
      <c r="D9" s="51">
        <f t="shared" si="0"/>
        <v>1593</v>
      </c>
      <c r="E9" s="52">
        <f t="shared" si="1"/>
        <v>7493</v>
      </c>
      <c r="F9" s="51">
        <f t="shared" si="2"/>
        <v>974.09</v>
      </c>
      <c r="G9" s="52">
        <f t="shared" si="3"/>
        <v>6518.91</v>
      </c>
    </row>
    <row r="10" spans="1:7" x14ac:dyDescent="0.25">
      <c r="A10" s="48">
        <v>205</v>
      </c>
      <c r="B10" s="48" t="s">
        <v>46</v>
      </c>
      <c r="C10" s="50">
        <v>6250</v>
      </c>
      <c r="D10" s="51">
        <f t="shared" si="0"/>
        <v>1687.5</v>
      </c>
      <c r="E10" s="52">
        <f t="shared" si="1"/>
        <v>7937.5</v>
      </c>
      <c r="F10" s="51">
        <f t="shared" si="2"/>
        <v>1031.875</v>
      </c>
      <c r="G10" s="52">
        <f t="shared" si="3"/>
        <v>6905.625</v>
      </c>
    </row>
    <row r="11" spans="1:7" x14ac:dyDescent="0.25">
      <c r="A11" s="48">
        <v>206</v>
      </c>
      <c r="B11" s="48" t="s">
        <v>47</v>
      </c>
      <c r="C11" s="50">
        <v>6600</v>
      </c>
      <c r="D11" s="51">
        <f t="shared" si="0"/>
        <v>1782.0000000000002</v>
      </c>
      <c r="E11" s="52">
        <f t="shared" si="1"/>
        <v>8382</v>
      </c>
      <c r="F11" s="51">
        <f t="shared" si="2"/>
        <v>1089.6600000000001</v>
      </c>
      <c r="G11" s="52">
        <f t="shared" si="3"/>
        <v>7292.34</v>
      </c>
    </row>
    <row r="12" spans="1:7" x14ac:dyDescent="0.25">
      <c r="A12" s="48">
        <v>207</v>
      </c>
      <c r="B12" s="48" t="s">
        <v>48</v>
      </c>
      <c r="C12" s="50">
        <v>6950</v>
      </c>
      <c r="D12" s="51">
        <f t="shared" si="0"/>
        <v>1876.5000000000002</v>
      </c>
      <c r="E12" s="52">
        <f t="shared" si="1"/>
        <v>8826.5</v>
      </c>
      <c r="F12" s="51">
        <f t="shared" si="2"/>
        <v>1147.4449999999999</v>
      </c>
      <c r="G12" s="52">
        <f t="shared" si="3"/>
        <v>7679.0550000000003</v>
      </c>
    </row>
    <row r="13" spans="1:7" x14ac:dyDescent="0.25">
      <c r="A13" s="48">
        <v>208</v>
      </c>
      <c r="B13" s="48" t="s">
        <v>49</v>
      </c>
      <c r="C13" s="50">
        <v>7300</v>
      </c>
      <c r="D13" s="51">
        <f t="shared" si="0"/>
        <v>1971.0000000000002</v>
      </c>
      <c r="E13" s="52">
        <f t="shared" si="1"/>
        <v>9271</v>
      </c>
      <c r="F13" s="51">
        <f t="shared" si="2"/>
        <v>1205.23</v>
      </c>
      <c r="G13" s="52">
        <f t="shared" si="3"/>
        <v>8065.77</v>
      </c>
    </row>
    <row r="14" spans="1:7" x14ac:dyDescent="0.25">
      <c r="A14" s="48">
        <v>209</v>
      </c>
      <c r="B14" s="48" t="s">
        <v>50</v>
      </c>
      <c r="C14" s="50">
        <v>7650</v>
      </c>
      <c r="D14" s="51">
        <f t="shared" si="0"/>
        <v>2065.5</v>
      </c>
      <c r="E14" s="52">
        <f t="shared" si="1"/>
        <v>9715.5</v>
      </c>
      <c r="F14" s="51">
        <f t="shared" si="2"/>
        <v>1263.0150000000001</v>
      </c>
      <c r="G14" s="52">
        <f t="shared" si="3"/>
        <v>8452.4850000000006</v>
      </c>
    </row>
    <row r="15" spans="1:7" x14ac:dyDescent="0.25">
      <c r="A15" s="48">
        <v>210</v>
      </c>
      <c r="B15" s="48" t="s">
        <v>51</v>
      </c>
      <c r="C15" s="50">
        <v>8000</v>
      </c>
      <c r="D15" s="51">
        <f t="shared" si="0"/>
        <v>2160</v>
      </c>
      <c r="E15" s="52">
        <f t="shared" si="1"/>
        <v>10160</v>
      </c>
      <c r="F15" s="51">
        <f t="shared" si="2"/>
        <v>1320.8</v>
      </c>
      <c r="G15" s="52">
        <f t="shared" si="3"/>
        <v>8839.2000000000007</v>
      </c>
    </row>
    <row r="16" spans="1:7" x14ac:dyDescent="0.25">
      <c r="A16" s="48">
        <v>211</v>
      </c>
      <c r="B16" s="48" t="s">
        <v>52</v>
      </c>
      <c r="C16" s="50">
        <v>8350</v>
      </c>
      <c r="D16" s="51">
        <f t="shared" si="0"/>
        <v>2254.5</v>
      </c>
      <c r="E16" s="52">
        <f t="shared" si="1"/>
        <v>10604.5</v>
      </c>
      <c r="F16" s="51">
        <f t="shared" si="2"/>
        <v>1378.585</v>
      </c>
      <c r="G16" s="52">
        <f t="shared" si="3"/>
        <v>9225.9150000000009</v>
      </c>
    </row>
    <row r="17" spans="1:7" x14ac:dyDescent="0.25">
      <c r="A17" s="48">
        <v>212</v>
      </c>
      <c r="B17" s="48" t="s">
        <v>53</v>
      </c>
      <c r="C17" s="50">
        <v>8700</v>
      </c>
      <c r="D17" s="51">
        <f t="shared" si="0"/>
        <v>2349</v>
      </c>
      <c r="E17" s="52">
        <f t="shared" si="1"/>
        <v>11049</v>
      </c>
      <c r="F17" s="51">
        <f t="shared" si="2"/>
        <v>1436.3700000000001</v>
      </c>
      <c r="G17" s="52">
        <f t="shared" si="3"/>
        <v>9612.6299999999992</v>
      </c>
    </row>
    <row r="18" spans="1:7" x14ac:dyDescent="0.25">
      <c r="A18" s="48">
        <v>213</v>
      </c>
      <c r="B18" s="48" t="s">
        <v>54</v>
      </c>
      <c r="C18" s="50">
        <v>9050</v>
      </c>
      <c r="D18" s="51">
        <f t="shared" si="0"/>
        <v>2443.5</v>
      </c>
      <c r="E18" s="52">
        <f t="shared" si="1"/>
        <v>11493.5</v>
      </c>
      <c r="F18" s="51">
        <f t="shared" si="2"/>
        <v>1494.155</v>
      </c>
      <c r="G18" s="52">
        <f t="shared" si="3"/>
        <v>9999.3449999999993</v>
      </c>
    </row>
    <row r="19" spans="1:7" x14ac:dyDescent="0.25">
      <c r="A19" s="48"/>
      <c r="B19" s="48" t="s">
        <v>58</v>
      </c>
      <c r="C19" s="48"/>
      <c r="D19" s="48"/>
      <c r="E19" s="48"/>
      <c r="F19" s="48"/>
      <c r="G19" s="48"/>
    </row>
    <row r="20" spans="1:7" x14ac:dyDescent="0.25">
      <c r="A20" s="24" t="s">
        <v>55</v>
      </c>
      <c r="B20" s="24"/>
      <c r="C20" s="43">
        <f>MIN(C5:C18)</f>
        <v>4500</v>
      </c>
    </row>
    <row r="21" spans="1:7" x14ac:dyDescent="0.25">
      <c r="A21" s="24" t="s">
        <v>56</v>
      </c>
      <c r="B21" s="24"/>
      <c r="C21" s="43">
        <f>MAX(C5:C18)</f>
        <v>9050</v>
      </c>
    </row>
    <row r="22" spans="1:7" x14ac:dyDescent="0.25">
      <c r="A22" s="24" t="s">
        <v>57</v>
      </c>
      <c r="B22" s="24"/>
      <c r="C22" s="43">
        <f>AVERAGE(C5:C18)</f>
        <v>6775</v>
      </c>
    </row>
  </sheetData>
  <mergeCells count="5">
    <mergeCell ref="A1:G1"/>
    <mergeCell ref="A2:G2"/>
    <mergeCell ref="A20:B20"/>
    <mergeCell ref="A21:B21"/>
    <mergeCell ref="A22:B22"/>
  </mergeCells>
  <conditionalFormatting sqref="G5:G18">
    <cfRule type="cellIs" dxfId="24" priority="1" operator="greaterThan">
      <formula>10000</formula>
    </cfRule>
    <cfRule type="cellIs" dxfId="23" priority="2" operator="between">
      <formula>7000</formula>
      <formula>10000</formula>
    </cfRule>
    <cfRule type="cellIs" dxfId="22" priority="3" operator="between">
      <formula>5000</formula>
      <formula>7000</formula>
    </cfRule>
    <cfRule type="cellIs" dxfId="21" priority="4" operator="lessThan">
      <formula>7000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0E846-47C5-449D-B05A-09B7182EF66F}">
  <dimension ref="A1:H22"/>
  <sheetViews>
    <sheetView workbookViewId="0">
      <selection activeCell="G4" sqref="G4:G17"/>
    </sheetView>
  </sheetViews>
  <sheetFormatPr defaultRowHeight="15" x14ac:dyDescent="0.25"/>
  <cols>
    <col min="1" max="1" width="17.85546875" bestFit="1" customWidth="1"/>
    <col min="2" max="2" width="17.42578125" bestFit="1" customWidth="1"/>
    <col min="3" max="3" width="7.5703125" bestFit="1" customWidth="1"/>
    <col min="4" max="4" width="8.5703125" bestFit="1" customWidth="1"/>
    <col min="5" max="5" width="8.5703125" customWidth="1"/>
    <col min="6" max="6" width="16.7109375" bestFit="1" customWidth="1"/>
    <col min="7" max="7" width="11.7109375" bestFit="1" customWidth="1"/>
    <col min="8" max="8" width="9.28515625" bestFit="1" customWidth="1"/>
  </cols>
  <sheetData>
    <row r="1" spans="1:8" x14ac:dyDescent="0.25">
      <c r="A1" s="24" t="s">
        <v>34</v>
      </c>
      <c r="B1" s="24"/>
      <c r="C1" s="24"/>
      <c r="D1" s="24"/>
      <c r="E1" s="24"/>
      <c r="F1" s="24"/>
      <c r="G1" s="24"/>
      <c r="H1" s="24"/>
    </row>
    <row r="2" spans="1:8" x14ac:dyDescent="0.25">
      <c r="A2" s="24" t="s">
        <v>59</v>
      </c>
      <c r="B2" s="24"/>
      <c r="C2" s="24"/>
      <c r="D2" s="24"/>
      <c r="E2" s="24"/>
      <c r="F2" s="24"/>
      <c r="G2" s="24"/>
      <c r="H2" s="24"/>
    </row>
    <row r="3" spans="1:8" x14ac:dyDescent="0.25">
      <c r="A3" s="31" t="s">
        <v>36</v>
      </c>
      <c r="B3" s="31" t="s">
        <v>3</v>
      </c>
      <c r="C3" s="31" t="s">
        <v>4</v>
      </c>
      <c r="D3" s="31" t="s">
        <v>37</v>
      </c>
      <c r="E3" s="31" t="s">
        <v>60</v>
      </c>
      <c r="F3" s="31" t="s">
        <v>38</v>
      </c>
      <c r="G3" s="31" t="s">
        <v>39</v>
      </c>
      <c r="H3" s="31" t="s">
        <v>40</v>
      </c>
    </row>
    <row r="4" spans="1:8" x14ac:dyDescent="0.25">
      <c r="A4" s="31">
        <v>200</v>
      </c>
      <c r="B4" s="31" t="s">
        <v>41</v>
      </c>
      <c r="C4" s="46">
        <v>4500</v>
      </c>
      <c r="D4" s="46">
        <f>$D$18*C4</f>
        <v>1440</v>
      </c>
      <c r="E4" s="46">
        <f>$E$18*C4</f>
        <v>225</v>
      </c>
      <c r="F4" s="46">
        <f>C4+D4+E4</f>
        <v>6165</v>
      </c>
      <c r="G4" s="46">
        <f xml:space="preserve"> $G$18*F4</f>
        <v>801.45</v>
      </c>
      <c r="H4" s="46">
        <f>F4-G4</f>
        <v>5363.55</v>
      </c>
    </row>
    <row r="5" spans="1:8" x14ac:dyDescent="0.25">
      <c r="A5" s="31">
        <v>201</v>
      </c>
      <c r="B5" s="31" t="s">
        <v>42</v>
      </c>
      <c r="C5" s="46">
        <v>4850</v>
      </c>
      <c r="D5" s="46">
        <f t="shared" ref="D5:E17" si="0">$D$18*C5</f>
        <v>1552</v>
      </c>
      <c r="E5" s="46">
        <f t="shared" ref="E5:E17" si="1">$E$18*C5</f>
        <v>242.5</v>
      </c>
      <c r="F5" s="46">
        <f>C5+D5+E5</f>
        <v>6644.5</v>
      </c>
      <c r="G5" s="46">
        <f t="shared" ref="G5:G17" si="2" xml:space="preserve"> $G$18*F5</f>
        <v>863.78500000000008</v>
      </c>
      <c r="H5" s="46">
        <f>F5-G5</f>
        <v>5780.7150000000001</v>
      </c>
    </row>
    <row r="6" spans="1:8" x14ac:dyDescent="0.25">
      <c r="A6" s="31">
        <v>202</v>
      </c>
      <c r="B6" s="31" t="s">
        <v>43</v>
      </c>
      <c r="C6" s="46">
        <v>5200</v>
      </c>
      <c r="D6" s="46">
        <f t="shared" si="0"/>
        <v>1664</v>
      </c>
      <c r="E6" s="46">
        <f t="shared" si="1"/>
        <v>260</v>
      </c>
      <c r="F6" s="46">
        <f>C6+D6+E6</f>
        <v>7124</v>
      </c>
      <c r="G6" s="46">
        <f t="shared" si="2"/>
        <v>926.12</v>
      </c>
      <c r="H6" s="46">
        <f>F6-G6</f>
        <v>6197.88</v>
      </c>
    </row>
    <row r="7" spans="1:8" x14ac:dyDescent="0.25">
      <c r="A7" s="31">
        <v>203</v>
      </c>
      <c r="B7" s="31" t="s">
        <v>44</v>
      </c>
      <c r="C7" s="46">
        <v>5550</v>
      </c>
      <c r="D7" s="46">
        <f t="shared" si="0"/>
        <v>1776</v>
      </c>
      <c r="E7" s="46">
        <f t="shared" si="1"/>
        <v>277.5</v>
      </c>
      <c r="F7" s="46">
        <f>C7+D7+E7</f>
        <v>7603.5</v>
      </c>
      <c r="G7" s="46">
        <f t="shared" si="2"/>
        <v>988.45500000000004</v>
      </c>
      <c r="H7" s="46">
        <f>F7-G7</f>
        <v>6615.0450000000001</v>
      </c>
    </row>
    <row r="8" spans="1:8" x14ac:dyDescent="0.25">
      <c r="A8" s="31">
        <v>204</v>
      </c>
      <c r="B8" s="31" t="s">
        <v>45</v>
      </c>
      <c r="C8" s="46">
        <v>5900</v>
      </c>
      <c r="D8" s="46">
        <f t="shared" si="0"/>
        <v>1888</v>
      </c>
      <c r="E8" s="46">
        <f t="shared" si="1"/>
        <v>295</v>
      </c>
      <c r="F8" s="46">
        <f>C8+D8+E8</f>
        <v>8083</v>
      </c>
      <c r="G8" s="46">
        <f t="shared" si="2"/>
        <v>1050.79</v>
      </c>
      <c r="H8" s="46">
        <f>F8-G8</f>
        <v>7032.21</v>
      </c>
    </row>
    <row r="9" spans="1:8" x14ac:dyDescent="0.25">
      <c r="A9" s="31">
        <v>205</v>
      </c>
      <c r="B9" s="31" t="s">
        <v>46</v>
      </c>
      <c r="C9" s="46">
        <v>6250</v>
      </c>
      <c r="D9" s="46">
        <f t="shared" si="0"/>
        <v>2000</v>
      </c>
      <c r="E9" s="46">
        <f t="shared" si="1"/>
        <v>312.5</v>
      </c>
      <c r="F9" s="46">
        <f>C9+D9+E9</f>
        <v>8562.5</v>
      </c>
      <c r="G9" s="46">
        <f t="shared" si="2"/>
        <v>1113.125</v>
      </c>
      <c r="H9" s="46">
        <f>F9-G9</f>
        <v>7449.375</v>
      </c>
    </row>
    <row r="10" spans="1:8" x14ac:dyDescent="0.25">
      <c r="A10" s="31">
        <v>206</v>
      </c>
      <c r="B10" s="31" t="s">
        <v>47</v>
      </c>
      <c r="C10" s="46">
        <v>6600</v>
      </c>
      <c r="D10" s="46">
        <f t="shared" si="0"/>
        <v>2112</v>
      </c>
      <c r="E10" s="46">
        <f t="shared" si="1"/>
        <v>330</v>
      </c>
      <c r="F10" s="46">
        <f>C10+D10+E10</f>
        <v>9042</v>
      </c>
      <c r="G10" s="46">
        <f t="shared" si="2"/>
        <v>1175.46</v>
      </c>
      <c r="H10" s="46">
        <f>F10-G10</f>
        <v>7866.54</v>
      </c>
    </row>
    <row r="11" spans="1:8" x14ac:dyDescent="0.25">
      <c r="A11" s="31">
        <v>207</v>
      </c>
      <c r="B11" s="31" t="s">
        <v>48</v>
      </c>
      <c r="C11" s="46">
        <v>6950</v>
      </c>
      <c r="D11" s="46">
        <f t="shared" si="0"/>
        <v>2224</v>
      </c>
      <c r="E11" s="46">
        <f t="shared" si="1"/>
        <v>347.5</v>
      </c>
      <c r="F11" s="46">
        <f>C11+D11+E11</f>
        <v>9521.5</v>
      </c>
      <c r="G11" s="46">
        <f t="shared" si="2"/>
        <v>1237.7950000000001</v>
      </c>
      <c r="H11" s="46">
        <f>F11-G11</f>
        <v>8283.7049999999999</v>
      </c>
    </row>
    <row r="12" spans="1:8" x14ac:dyDescent="0.25">
      <c r="A12" s="31">
        <v>208</v>
      </c>
      <c r="B12" s="31" t="s">
        <v>49</v>
      </c>
      <c r="C12" s="46">
        <v>7300</v>
      </c>
      <c r="D12" s="46">
        <f t="shared" si="0"/>
        <v>2336</v>
      </c>
      <c r="E12" s="46">
        <f t="shared" si="1"/>
        <v>365</v>
      </c>
      <c r="F12" s="46">
        <f>C12+D12+E12</f>
        <v>10001</v>
      </c>
      <c r="G12" s="46">
        <f t="shared" si="2"/>
        <v>1300.1300000000001</v>
      </c>
      <c r="H12" s="46">
        <f>F12-G12</f>
        <v>8700.869999999999</v>
      </c>
    </row>
    <row r="13" spans="1:8" x14ac:dyDescent="0.25">
      <c r="A13" s="31">
        <v>209</v>
      </c>
      <c r="B13" s="31" t="s">
        <v>50</v>
      </c>
      <c r="C13" s="46">
        <v>7650</v>
      </c>
      <c r="D13" s="46">
        <f t="shared" si="0"/>
        <v>2448</v>
      </c>
      <c r="E13" s="46">
        <f t="shared" si="1"/>
        <v>382.5</v>
      </c>
      <c r="F13" s="46">
        <f>C13+D13+E13</f>
        <v>10480.5</v>
      </c>
      <c r="G13" s="46">
        <f t="shared" si="2"/>
        <v>1362.4650000000001</v>
      </c>
      <c r="H13" s="46">
        <f>F13-G13</f>
        <v>9118.0349999999999</v>
      </c>
    </row>
    <row r="14" spans="1:8" x14ac:dyDescent="0.25">
      <c r="A14" s="31">
        <v>210</v>
      </c>
      <c r="B14" s="31" t="s">
        <v>51</v>
      </c>
      <c r="C14" s="46">
        <v>8000</v>
      </c>
      <c r="D14" s="46">
        <f t="shared" si="0"/>
        <v>2560</v>
      </c>
      <c r="E14" s="46">
        <f t="shared" si="1"/>
        <v>400</v>
      </c>
      <c r="F14" s="46">
        <f>C14+D14+E14</f>
        <v>10960</v>
      </c>
      <c r="G14" s="46">
        <f t="shared" si="2"/>
        <v>1424.8</v>
      </c>
      <c r="H14" s="46">
        <f>F14-G14</f>
        <v>9535.2000000000007</v>
      </c>
    </row>
    <row r="15" spans="1:8" x14ac:dyDescent="0.25">
      <c r="A15" s="31">
        <v>211</v>
      </c>
      <c r="B15" s="31" t="s">
        <v>52</v>
      </c>
      <c r="C15" s="46">
        <v>8350</v>
      </c>
      <c r="D15" s="46">
        <f t="shared" si="0"/>
        <v>2672</v>
      </c>
      <c r="E15" s="46">
        <f t="shared" si="1"/>
        <v>417.5</v>
      </c>
      <c r="F15" s="46">
        <f>C15+D15+E15</f>
        <v>11439.5</v>
      </c>
      <c r="G15" s="46">
        <f t="shared" si="2"/>
        <v>1487.135</v>
      </c>
      <c r="H15" s="46">
        <f>F15-G15</f>
        <v>9952.3649999999998</v>
      </c>
    </row>
    <row r="16" spans="1:8" x14ac:dyDescent="0.25">
      <c r="A16" s="31">
        <v>212</v>
      </c>
      <c r="B16" s="31" t="s">
        <v>53</v>
      </c>
      <c r="C16" s="46">
        <v>8700</v>
      </c>
      <c r="D16" s="46">
        <f t="shared" si="0"/>
        <v>2784</v>
      </c>
      <c r="E16" s="46">
        <f t="shared" si="1"/>
        <v>435</v>
      </c>
      <c r="F16" s="46">
        <f>C16+D16+E16</f>
        <v>11919</v>
      </c>
      <c r="G16" s="46">
        <f t="shared" si="2"/>
        <v>1549.47</v>
      </c>
      <c r="H16" s="46">
        <f>F16-G16</f>
        <v>10369.530000000001</v>
      </c>
    </row>
    <row r="17" spans="1:8" x14ac:dyDescent="0.25">
      <c r="A17" s="31">
        <v>213</v>
      </c>
      <c r="B17" s="31" t="s">
        <v>54</v>
      </c>
      <c r="C17" s="46">
        <v>9050</v>
      </c>
      <c r="D17" s="46">
        <f t="shared" si="0"/>
        <v>2896</v>
      </c>
      <c r="E17" s="46">
        <f t="shared" si="1"/>
        <v>452.5</v>
      </c>
      <c r="F17" s="46">
        <f>C17+D17+E17</f>
        <v>12398.5</v>
      </c>
      <c r="G17" s="46">
        <f t="shared" si="2"/>
        <v>1611.8050000000001</v>
      </c>
      <c r="H17" s="46">
        <f>F17-G17</f>
        <v>10786.695</v>
      </c>
    </row>
    <row r="18" spans="1:8" x14ac:dyDescent="0.25">
      <c r="A18" s="31"/>
      <c r="B18" s="31"/>
      <c r="C18" s="31"/>
      <c r="D18" s="44">
        <v>0.32</v>
      </c>
      <c r="E18" s="44">
        <v>0.05</v>
      </c>
      <c r="F18" s="31"/>
      <c r="G18" s="44">
        <v>0.13</v>
      </c>
      <c r="H18" s="31"/>
    </row>
    <row r="19" spans="1:8" x14ac:dyDescent="0.25">
      <c r="A19" s="31"/>
      <c r="B19" s="31" t="s">
        <v>58</v>
      </c>
      <c r="C19" s="31"/>
      <c r="D19" s="31"/>
      <c r="E19" s="31"/>
      <c r="F19" s="31"/>
      <c r="G19" s="31"/>
      <c r="H19" s="31"/>
    </row>
    <row r="20" spans="1:8" x14ac:dyDescent="0.25">
      <c r="A20" s="24" t="s">
        <v>55</v>
      </c>
      <c r="B20" s="24"/>
      <c r="C20" s="43">
        <f>MIN(C5:C18)</f>
        <v>4850</v>
      </c>
    </row>
    <row r="21" spans="1:8" x14ac:dyDescent="0.25">
      <c r="A21" s="24" t="s">
        <v>56</v>
      </c>
      <c r="B21" s="24"/>
      <c r="C21" s="43">
        <f>MAX(C5:C18)</f>
        <v>9050</v>
      </c>
    </row>
    <row r="22" spans="1:8" x14ac:dyDescent="0.25">
      <c r="A22" s="24" t="s">
        <v>57</v>
      </c>
      <c r="B22" s="24"/>
      <c r="C22" s="43">
        <f>AVERAGE(C5:C18)</f>
        <v>6950</v>
      </c>
    </row>
  </sheetData>
  <sortState xmlns:xlrd2="http://schemas.microsoft.com/office/spreadsheetml/2017/richdata2" ref="A4:H17">
    <sortCondition ref="A4:A17"/>
  </sortState>
  <mergeCells count="5">
    <mergeCell ref="A1:H1"/>
    <mergeCell ref="A2:H2"/>
    <mergeCell ref="A20:B20"/>
    <mergeCell ref="A21:B21"/>
    <mergeCell ref="A22:B22"/>
  </mergeCells>
  <conditionalFormatting sqref="C4:D17">
    <cfRule type="cellIs" dxfId="20" priority="1" operator="greaterThan">
      <formula>10000</formula>
    </cfRule>
    <cfRule type="cellIs" dxfId="19" priority="2" operator="between">
      <formula>8000</formula>
      <formula>10000</formula>
    </cfRule>
    <cfRule type="cellIs" dxfId="18" priority="3" operator="between">
      <formula>6000</formula>
      <formula>8000</formula>
    </cfRule>
    <cfRule type="cellIs" dxfId="17" priority="4" operator="between">
      <formula>5000</formula>
      <formula>6000</formula>
    </cfRule>
    <cfRule type="cellIs" dxfId="16" priority="5" operator="between">
      <formula>5000</formula>
      <formula>6000</formula>
    </cfRule>
    <cfRule type="cellIs" dxfId="15" priority="6" operator="between">
      <formula>5000</formula>
      <formula>6000</formula>
    </cfRule>
    <cfRule type="cellIs" dxfId="14" priority="7" operator="between">
      <formula>2000</formula>
      <formula>5000</formula>
    </cfRule>
    <cfRule type="cellIs" dxfId="13" priority="8" operator="lessThan">
      <formula>2000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E28B-493D-423F-96B2-71E0C53F8C79}">
  <dimension ref="A1:H22"/>
  <sheetViews>
    <sheetView workbookViewId="0">
      <selection activeCell="H4" sqref="H4"/>
    </sheetView>
  </sheetViews>
  <sheetFormatPr defaultRowHeight="15" x14ac:dyDescent="0.25"/>
  <cols>
    <col min="1" max="1" width="17.85546875" bestFit="1" customWidth="1"/>
    <col min="2" max="2" width="17.42578125" bestFit="1" customWidth="1"/>
    <col min="3" max="3" width="9" bestFit="1" customWidth="1"/>
    <col min="4" max="4" width="8.7109375" bestFit="1" customWidth="1"/>
    <col min="5" max="5" width="9.28515625" bestFit="1" customWidth="1"/>
    <col min="6" max="6" width="16.85546875" bestFit="1" customWidth="1"/>
    <col min="7" max="7" width="11.85546875" bestFit="1" customWidth="1"/>
    <col min="8" max="8" width="9.42578125" bestFit="1" customWidth="1"/>
  </cols>
  <sheetData>
    <row r="1" spans="1:8" x14ac:dyDescent="0.25">
      <c r="A1" s="24" t="s">
        <v>34</v>
      </c>
      <c r="B1" s="24"/>
      <c r="C1" s="24"/>
      <c r="D1" s="24"/>
      <c r="E1" s="24"/>
      <c r="F1" s="24"/>
      <c r="G1" s="24"/>
      <c r="H1" s="24"/>
    </row>
    <row r="2" spans="1:8" x14ac:dyDescent="0.25">
      <c r="A2" s="24" t="s">
        <v>61</v>
      </c>
      <c r="B2" s="24"/>
      <c r="C2" s="24"/>
      <c r="D2" s="24"/>
      <c r="E2" s="24"/>
      <c r="F2" s="24"/>
      <c r="G2" s="24"/>
      <c r="H2" s="24"/>
    </row>
    <row r="3" spans="1:8" x14ac:dyDescent="0.25">
      <c r="A3" s="31" t="s">
        <v>36</v>
      </c>
      <c r="B3" s="31" t="s">
        <v>3</v>
      </c>
      <c r="C3" s="31" t="s">
        <v>4</v>
      </c>
      <c r="D3" s="31" t="s">
        <v>37</v>
      </c>
      <c r="E3" s="31" t="s">
        <v>60</v>
      </c>
      <c r="F3" s="31" t="s">
        <v>38</v>
      </c>
      <c r="G3" s="31" t="s">
        <v>39</v>
      </c>
      <c r="H3" s="31" t="s">
        <v>40</v>
      </c>
    </row>
    <row r="4" spans="1:8" x14ac:dyDescent="0.25">
      <c r="A4" s="31">
        <v>200</v>
      </c>
      <c r="B4" s="31" t="s">
        <v>41</v>
      </c>
      <c r="C4" s="46">
        <v>4500</v>
      </c>
      <c r="D4" s="46">
        <f>$D$18*C4</f>
        <v>2070</v>
      </c>
      <c r="E4" s="46">
        <f>$E$18*C4</f>
        <v>360</v>
      </c>
      <c r="F4" s="46">
        <f>C4+D4+E4</f>
        <v>6930</v>
      </c>
      <c r="G4" s="46">
        <f xml:space="preserve"> $G$18*F4</f>
        <v>900.9</v>
      </c>
      <c r="H4" s="46">
        <f>F4-G4</f>
        <v>6029.1</v>
      </c>
    </row>
    <row r="5" spans="1:8" x14ac:dyDescent="0.25">
      <c r="A5" s="31">
        <v>201</v>
      </c>
      <c r="B5" s="31" t="s">
        <v>42</v>
      </c>
      <c r="C5" s="46">
        <v>4850</v>
      </c>
      <c r="D5" s="46">
        <f>$D$18*C5</f>
        <v>2231</v>
      </c>
      <c r="E5" s="46">
        <f>$E$18*C5</f>
        <v>388</v>
      </c>
      <c r="F5" s="46">
        <f>C5+D5+E5</f>
        <v>7469</v>
      </c>
      <c r="G5" s="46">
        <f xml:space="preserve"> $G$18*F5</f>
        <v>970.97</v>
      </c>
      <c r="H5" s="46">
        <f>F5-G5</f>
        <v>6498.03</v>
      </c>
    </row>
    <row r="6" spans="1:8" x14ac:dyDescent="0.25">
      <c r="A6" s="31">
        <v>202</v>
      </c>
      <c r="B6" s="31" t="s">
        <v>43</v>
      </c>
      <c r="C6" s="46">
        <v>5200</v>
      </c>
      <c r="D6" s="46">
        <f>$D$18*C6</f>
        <v>2392</v>
      </c>
      <c r="E6" s="46">
        <f>$E$18*C6</f>
        <v>416</v>
      </c>
      <c r="F6" s="46">
        <f>C6+D6+E6</f>
        <v>8008</v>
      </c>
      <c r="G6" s="46">
        <f xml:space="preserve"> $G$18*F6</f>
        <v>1041.04</v>
      </c>
      <c r="H6" s="46">
        <f>F6-G6</f>
        <v>6966.96</v>
      </c>
    </row>
    <row r="7" spans="1:8" x14ac:dyDescent="0.25">
      <c r="A7" s="31">
        <v>203</v>
      </c>
      <c r="B7" s="31" t="s">
        <v>44</v>
      </c>
      <c r="C7" s="46">
        <v>5550</v>
      </c>
      <c r="D7" s="46">
        <f>$D$18*C7</f>
        <v>2553</v>
      </c>
      <c r="E7" s="46">
        <f>$E$18*C7</f>
        <v>444</v>
      </c>
      <c r="F7" s="46">
        <f>C7+D7+E7</f>
        <v>8547</v>
      </c>
      <c r="G7" s="46">
        <f xml:space="preserve"> $G$18*F7</f>
        <v>1111.1100000000001</v>
      </c>
      <c r="H7" s="46">
        <f>F7-G7</f>
        <v>7435.8899999999994</v>
      </c>
    </row>
    <row r="8" spans="1:8" x14ac:dyDescent="0.25">
      <c r="A8" s="31">
        <v>204</v>
      </c>
      <c r="B8" s="31" t="s">
        <v>45</v>
      </c>
      <c r="C8" s="46">
        <v>5900</v>
      </c>
      <c r="D8" s="46">
        <f>$D$18*C8</f>
        <v>2714</v>
      </c>
      <c r="E8" s="46">
        <f>$E$18*C8</f>
        <v>472</v>
      </c>
      <c r="F8" s="46">
        <f>C8+D8+E8</f>
        <v>9086</v>
      </c>
      <c r="G8" s="46">
        <f xml:space="preserve"> $G$18*F8</f>
        <v>1181.18</v>
      </c>
      <c r="H8" s="46">
        <f>F8-G8</f>
        <v>7904.82</v>
      </c>
    </row>
    <row r="9" spans="1:8" x14ac:dyDescent="0.25">
      <c r="A9" s="31">
        <v>205</v>
      </c>
      <c r="B9" s="31" t="s">
        <v>46</v>
      </c>
      <c r="C9" s="46">
        <v>6250</v>
      </c>
      <c r="D9" s="46">
        <f>$D$18*C9</f>
        <v>2875</v>
      </c>
      <c r="E9" s="46">
        <f>$E$18*C9</f>
        <v>500</v>
      </c>
      <c r="F9" s="46">
        <f>C9+D9+E9</f>
        <v>9625</v>
      </c>
      <c r="G9" s="46">
        <f xml:space="preserve"> $G$18*F9</f>
        <v>1251.25</v>
      </c>
      <c r="H9" s="46">
        <f>F9-G9</f>
        <v>8373.75</v>
      </c>
    </row>
    <row r="10" spans="1:8" x14ac:dyDescent="0.25">
      <c r="A10" s="31">
        <v>206</v>
      </c>
      <c r="B10" s="31" t="s">
        <v>47</v>
      </c>
      <c r="C10" s="46">
        <v>6600</v>
      </c>
      <c r="D10" s="46">
        <f>$D$18*C10</f>
        <v>3036</v>
      </c>
      <c r="E10" s="46">
        <f>$E$18*C10</f>
        <v>528</v>
      </c>
      <c r="F10" s="46">
        <f>C10+D10+E10</f>
        <v>10164</v>
      </c>
      <c r="G10" s="46">
        <f xml:space="preserve"> $G$18*F10</f>
        <v>1321.32</v>
      </c>
      <c r="H10" s="46">
        <f>F10-G10</f>
        <v>8842.68</v>
      </c>
    </row>
    <row r="11" spans="1:8" x14ac:dyDescent="0.25">
      <c r="A11" s="31">
        <v>207</v>
      </c>
      <c r="B11" s="31" t="s">
        <v>48</v>
      </c>
      <c r="C11" s="46">
        <v>6950</v>
      </c>
      <c r="D11" s="46">
        <f>$D$18*C11</f>
        <v>3197</v>
      </c>
      <c r="E11" s="46">
        <f>$E$18*C11</f>
        <v>556</v>
      </c>
      <c r="F11" s="46">
        <f>C11+D11+E11</f>
        <v>10703</v>
      </c>
      <c r="G11" s="46">
        <f xml:space="preserve"> $G$18*F11</f>
        <v>1391.39</v>
      </c>
      <c r="H11" s="46">
        <f>F11-G11</f>
        <v>9311.61</v>
      </c>
    </row>
    <row r="12" spans="1:8" x14ac:dyDescent="0.25">
      <c r="A12" s="31">
        <v>208</v>
      </c>
      <c r="B12" s="31" t="s">
        <v>49</v>
      </c>
      <c r="C12" s="46">
        <v>7300</v>
      </c>
      <c r="D12" s="46">
        <f>$D$18*C12</f>
        <v>3358</v>
      </c>
      <c r="E12" s="46">
        <f>$E$18*C12</f>
        <v>584</v>
      </c>
      <c r="F12" s="46">
        <f>C12+D12+E12</f>
        <v>11242</v>
      </c>
      <c r="G12" s="46">
        <f xml:space="preserve"> $G$18*F12</f>
        <v>1461.46</v>
      </c>
      <c r="H12" s="46">
        <f>F12-G12</f>
        <v>9780.5400000000009</v>
      </c>
    </row>
    <row r="13" spans="1:8" x14ac:dyDescent="0.25">
      <c r="A13" s="31">
        <v>209</v>
      </c>
      <c r="B13" s="31" t="s">
        <v>50</v>
      </c>
      <c r="C13" s="46">
        <v>7650</v>
      </c>
      <c r="D13" s="46">
        <f>$D$18*C13</f>
        <v>3519</v>
      </c>
      <c r="E13" s="46">
        <f>$E$18*C13</f>
        <v>612</v>
      </c>
      <c r="F13" s="46">
        <f>C13+D13+E13</f>
        <v>11781</v>
      </c>
      <c r="G13" s="46">
        <f xml:space="preserve"> $G$18*F13</f>
        <v>1531.53</v>
      </c>
      <c r="H13" s="46">
        <f>F13-G13</f>
        <v>10249.469999999999</v>
      </c>
    </row>
    <row r="14" spans="1:8" x14ac:dyDescent="0.25">
      <c r="A14" s="31">
        <v>210</v>
      </c>
      <c r="B14" s="31" t="s">
        <v>51</v>
      </c>
      <c r="C14" s="46">
        <v>8000</v>
      </c>
      <c r="D14" s="46">
        <f>$D$18*C14</f>
        <v>3680</v>
      </c>
      <c r="E14" s="46">
        <f>$E$18*C14</f>
        <v>640</v>
      </c>
      <c r="F14" s="46">
        <f>C14+D14+E14</f>
        <v>12320</v>
      </c>
      <c r="G14" s="46">
        <f xml:space="preserve"> $G$18*F14</f>
        <v>1601.6000000000001</v>
      </c>
      <c r="H14" s="46">
        <f>F14-G14</f>
        <v>10718.4</v>
      </c>
    </row>
    <row r="15" spans="1:8" x14ac:dyDescent="0.25">
      <c r="A15" s="31">
        <v>211</v>
      </c>
      <c r="B15" s="31" t="s">
        <v>52</v>
      </c>
      <c r="C15" s="46">
        <v>8350</v>
      </c>
      <c r="D15" s="46">
        <f>$D$18*C15</f>
        <v>3841</v>
      </c>
      <c r="E15" s="46">
        <f>$E$18*C15</f>
        <v>668</v>
      </c>
      <c r="F15" s="46">
        <f>C15+D15+E15</f>
        <v>12859</v>
      </c>
      <c r="G15" s="46">
        <f xml:space="preserve"> $G$18*F15</f>
        <v>1671.67</v>
      </c>
      <c r="H15" s="46">
        <f>F15-G15</f>
        <v>11187.33</v>
      </c>
    </row>
    <row r="16" spans="1:8" x14ac:dyDescent="0.25">
      <c r="A16" s="31">
        <v>212</v>
      </c>
      <c r="B16" s="31" t="s">
        <v>53</v>
      </c>
      <c r="C16" s="46">
        <v>8700</v>
      </c>
      <c r="D16" s="46">
        <f>$D$18*C16</f>
        <v>4002</v>
      </c>
      <c r="E16" s="46">
        <f>$E$18*C16</f>
        <v>696</v>
      </c>
      <c r="F16" s="46">
        <f>C16+D16+E16</f>
        <v>13398</v>
      </c>
      <c r="G16" s="46">
        <f xml:space="preserve"> $G$18*F16</f>
        <v>1741.74</v>
      </c>
      <c r="H16" s="46">
        <f>F16-G16</f>
        <v>11656.26</v>
      </c>
    </row>
    <row r="17" spans="1:8" x14ac:dyDescent="0.25">
      <c r="A17" s="31">
        <v>213</v>
      </c>
      <c r="B17" s="31" t="s">
        <v>54</v>
      </c>
      <c r="C17" s="46">
        <v>9050</v>
      </c>
      <c r="D17" s="46">
        <f>$D$18*C17</f>
        <v>4163</v>
      </c>
      <c r="E17" s="46">
        <f>$E$18*C17</f>
        <v>724</v>
      </c>
      <c r="F17" s="46">
        <f>C17+D17+E17</f>
        <v>13937</v>
      </c>
      <c r="G17" s="46">
        <f xml:space="preserve"> $G$18*F17</f>
        <v>1811.8100000000002</v>
      </c>
      <c r="H17" s="46">
        <f>F17-G17</f>
        <v>12125.19</v>
      </c>
    </row>
    <row r="18" spans="1:8" x14ac:dyDescent="0.25">
      <c r="A18" s="31"/>
      <c r="B18" s="31"/>
      <c r="C18" s="31"/>
      <c r="D18" s="44">
        <v>0.46</v>
      </c>
      <c r="E18" s="44">
        <v>0.08</v>
      </c>
      <c r="F18" s="31"/>
      <c r="G18" s="44">
        <v>0.13</v>
      </c>
      <c r="H18" s="31"/>
    </row>
    <row r="19" spans="1:8" x14ac:dyDescent="0.25">
      <c r="A19" s="31"/>
      <c r="B19" s="31" t="s">
        <v>58</v>
      </c>
      <c r="C19" s="46">
        <f>SUM(C4:C17)</f>
        <v>94850</v>
      </c>
      <c r="D19" s="46">
        <f t="shared" ref="D19:H19" si="0">SUM(D4:D17)</f>
        <v>43631</v>
      </c>
      <c r="E19" s="46">
        <f t="shared" si="0"/>
        <v>7588</v>
      </c>
      <c r="F19" s="46">
        <f t="shared" si="0"/>
        <v>146069</v>
      </c>
      <c r="G19" s="46">
        <f t="shared" si="0"/>
        <v>18988.97</v>
      </c>
      <c r="H19" s="46">
        <f t="shared" si="0"/>
        <v>127080.03</v>
      </c>
    </row>
    <row r="20" spans="1:8" x14ac:dyDescent="0.25">
      <c r="A20" s="24" t="s">
        <v>55</v>
      </c>
      <c r="B20" s="24"/>
      <c r="C20" s="47">
        <f>MIN(H4:H17)</f>
        <v>6029.1</v>
      </c>
    </row>
    <row r="21" spans="1:8" x14ac:dyDescent="0.25">
      <c r="A21" s="24" t="s">
        <v>56</v>
      </c>
      <c r="B21" s="24"/>
      <c r="C21" s="47">
        <f>MAX(H4:H17)</f>
        <v>12125.19</v>
      </c>
    </row>
    <row r="22" spans="1:8" x14ac:dyDescent="0.25">
      <c r="A22" s="24" t="s">
        <v>57</v>
      </c>
      <c r="B22" s="24"/>
      <c r="C22" s="47">
        <f>AVERAGE(H4:H17)</f>
        <v>9077.1450000000004</v>
      </c>
    </row>
  </sheetData>
  <sortState xmlns:xlrd2="http://schemas.microsoft.com/office/spreadsheetml/2017/richdata2" ref="A4:H17">
    <sortCondition ref="A4:A17"/>
  </sortState>
  <mergeCells count="5">
    <mergeCell ref="A1:H1"/>
    <mergeCell ref="A2:H2"/>
    <mergeCell ref="A20:B20"/>
    <mergeCell ref="A21:B21"/>
    <mergeCell ref="A22:B22"/>
  </mergeCells>
  <conditionalFormatting sqref="C4:D17">
    <cfRule type="cellIs" dxfId="12" priority="1" operator="greaterThan">
      <formula>10000</formula>
    </cfRule>
    <cfRule type="cellIs" dxfId="11" priority="2" operator="between">
      <formula>8000</formula>
      <formula>10000</formula>
    </cfRule>
    <cfRule type="cellIs" dxfId="10" priority="3" operator="between">
      <formula>6000</formula>
      <formula>8000</formula>
    </cfRule>
    <cfRule type="cellIs" dxfId="9" priority="4" operator="between">
      <formula>5000</formula>
      <formula>6000</formula>
    </cfRule>
    <cfRule type="cellIs" dxfId="8" priority="5" operator="between">
      <formula>5000</formula>
      <formula>6000</formula>
    </cfRule>
    <cfRule type="cellIs" dxfId="7" priority="6" operator="between">
      <formula>5000</formula>
      <formula>6000</formula>
    </cfRule>
    <cfRule type="cellIs" dxfId="6" priority="7" operator="between">
      <formula>2000</formula>
      <formula>5000</formula>
    </cfRule>
    <cfRule type="cellIs" dxfId="5" priority="8" operator="lessThan">
      <formula>2000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02C89-5DEA-4F48-96A3-97237083CB27}">
  <dimension ref="A1:G26"/>
  <sheetViews>
    <sheetView workbookViewId="0">
      <selection activeCell="C3" sqref="C3:F22"/>
    </sheetView>
  </sheetViews>
  <sheetFormatPr defaultRowHeight="15" outlineLevelRow="2" x14ac:dyDescent="0.25"/>
  <cols>
    <col min="1" max="1" width="17.85546875" bestFit="1" customWidth="1"/>
    <col min="2" max="2" width="17.42578125" bestFit="1" customWidth="1"/>
    <col min="3" max="3" width="20.85546875" bestFit="1" customWidth="1"/>
    <col min="4" max="5" width="16.7109375" customWidth="1"/>
    <col min="6" max="6" width="11.7109375" bestFit="1" customWidth="1"/>
    <col min="7" max="7" width="9.28515625" bestFit="1" customWidth="1"/>
  </cols>
  <sheetData>
    <row r="1" spans="1:7" x14ac:dyDescent="0.25">
      <c r="A1" s="24" t="s">
        <v>34</v>
      </c>
      <c r="B1" s="24"/>
      <c r="C1" s="24"/>
      <c r="D1" s="24"/>
      <c r="E1" s="24"/>
      <c r="F1" s="24"/>
      <c r="G1" s="24"/>
    </row>
    <row r="2" spans="1:7" x14ac:dyDescent="0.25">
      <c r="A2" s="24" t="s">
        <v>62</v>
      </c>
      <c r="B2" s="24"/>
      <c r="C2" s="24"/>
      <c r="D2" s="24"/>
      <c r="E2" s="24"/>
      <c r="F2" s="24"/>
      <c r="G2" s="24"/>
    </row>
    <row r="3" spans="1:7" x14ac:dyDescent="0.25">
      <c r="A3" s="31" t="s">
        <v>36</v>
      </c>
      <c r="B3" s="31" t="s">
        <v>3</v>
      </c>
      <c r="C3" s="31" t="s">
        <v>63</v>
      </c>
      <c r="D3" s="31" t="s">
        <v>38</v>
      </c>
      <c r="E3" s="31" t="s">
        <v>39</v>
      </c>
      <c r="F3" s="31" t="s">
        <v>40</v>
      </c>
    </row>
    <row r="4" spans="1:7" outlineLevel="1" x14ac:dyDescent="0.25">
      <c r="A4" s="31"/>
      <c r="B4" s="31"/>
      <c r="C4" s="31"/>
      <c r="D4" s="31"/>
      <c r="E4" s="44"/>
      <c r="F4" s="31"/>
    </row>
    <row r="5" spans="1:7" outlineLevel="2" x14ac:dyDescent="0.25">
      <c r="A5" s="31">
        <v>201</v>
      </c>
      <c r="B5" s="31" t="s">
        <v>42</v>
      </c>
      <c r="C5" s="45" t="s">
        <v>66</v>
      </c>
      <c r="D5" s="46">
        <f>'ЗП октябрь'!E6+'ЗП ноябрь'!F5+'ЗП декабрь'!F5</f>
        <v>20273</v>
      </c>
      <c r="E5" s="46">
        <f>'ЗП октябрь'!F6+'ЗП ноябрь'!G5+'ЗП декабрь'!G5</f>
        <v>2635.49</v>
      </c>
      <c r="F5" s="45">
        <f>'ЗП октябрь'!G6+'ЗП ноябрь'!H5+'ЗП декабрь'!H5</f>
        <v>17637.509999999998</v>
      </c>
    </row>
    <row r="6" spans="1:7" outlineLevel="2" x14ac:dyDescent="0.25">
      <c r="A6" s="31">
        <v>202</v>
      </c>
      <c r="B6" s="31" t="s">
        <v>43</v>
      </c>
      <c r="C6" s="45" t="s">
        <v>66</v>
      </c>
      <c r="D6" s="46">
        <f>'ЗП октябрь'!E7+'ЗП ноябрь'!F6+'ЗП декабрь'!F6</f>
        <v>21736</v>
      </c>
      <c r="E6" s="46">
        <f>'ЗП октябрь'!F7+'ЗП ноябрь'!G6+'ЗП декабрь'!G6</f>
        <v>2825.68</v>
      </c>
      <c r="F6" s="45">
        <f>'ЗП октябрь'!G7+'ЗП ноябрь'!H6+'ЗП декабрь'!H6</f>
        <v>18910.32</v>
      </c>
    </row>
    <row r="7" spans="1:7" outlineLevel="2" x14ac:dyDescent="0.25">
      <c r="A7" s="31">
        <v>212</v>
      </c>
      <c r="B7" s="31" t="s">
        <v>53</v>
      </c>
      <c r="C7" s="45" t="s">
        <v>66</v>
      </c>
      <c r="D7" s="46">
        <f>'ЗП октябрь'!E17+'ЗП ноябрь'!F16+'ЗП декабрь'!F16</f>
        <v>36366</v>
      </c>
      <c r="E7" s="46">
        <f>'ЗП октябрь'!F17+'ЗП ноябрь'!G16+'ЗП декабрь'!G16</f>
        <v>4727.58</v>
      </c>
      <c r="F7" s="45">
        <f>'ЗП октябрь'!G17+'ЗП ноябрь'!H16+'ЗП декабрь'!H16</f>
        <v>31638.42</v>
      </c>
    </row>
    <row r="8" spans="1:7" outlineLevel="1" x14ac:dyDescent="0.25">
      <c r="A8" s="31"/>
      <c r="B8" s="31"/>
      <c r="C8" s="53" t="s">
        <v>67</v>
      </c>
      <c r="D8" s="46">
        <f>SUBTOTAL(9,D5:D7)</f>
        <v>78375</v>
      </c>
      <c r="E8" s="46">
        <f>SUBTOTAL(9,E5:E7)</f>
        <v>10188.75</v>
      </c>
      <c r="F8" s="45">
        <f>SUBTOTAL(9,F5:F7)</f>
        <v>68186.25</v>
      </c>
    </row>
    <row r="9" spans="1:7" outlineLevel="2" x14ac:dyDescent="0.25">
      <c r="A9" s="31">
        <v>204</v>
      </c>
      <c r="B9" s="31" t="s">
        <v>45</v>
      </c>
      <c r="C9" s="45" t="s">
        <v>64</v>
      </c>
      <c r="D9" s="46">
        <f>'ЗП октябрь'!E9+'ЗП ноябрь'!F8+'ЗП декабрь'!F8</f>
        <v>24662</v>
      </c>
      <c r="E9" s="46">
        <f>'ЗП октябрь'!F9+'ЗП ноябрь'!G8+'ЗП декабрь'!G8</f>
        <v>3206.0600000000004</v>
      </c>
      <c r="F9" s="45">
        <f>'ЗП октябрь'!G9+'ЗП ноябрь'!H8+'ЗП декабрь'!H8</f>
        <v>21455.94</v>
      </c>
    </row>
    <row r="10" spans="1:7" outlineLevel="2" x14ac:dyDescent="0.25">
      <c r="A10" s="31">
        <v>210</v>
      </c>
      <c r="B10" s="31" t="s">
        <v>51</v>
      </c>
      <c r="C10" s="45" t="s">
        <v>64</v>
      </c>
      <c r="D10" s="46">
        <f>'ЗП октябрь'!E15+'ЗП ноябрь'!F14+'ЗП декабрь'!F14</f>
        <v>33440</v>
      </c>
      <c r="E10" s="46">
        <f>'ЗП октябрь'!F15+'ЗП ноябрь'!G14+'ЗП декабрь'!G14</f>
        <v>4347.2</v>
      </c>
      <c r="F10" s="45">
        <f>'ЗП октябрь'!G15+'ЗП ноябрь'!H14+'ЗП декабрь'!H14</f>
        <v>29092.800000000003</v>
      </c>
    </row>
    <row r="11" spans="1:7" outlineLevel="2" x14ac:dyDescent="0.25">
      <c r="A11" s="31">
        <v>205</v>
      </c>
      <c r="B11" s="31" t="s">
        <v>46</v>
      </c>
      <c r="C11" s="45" t="s">
        <v>64</v>
      </c>
      <c r="D11" s="46">
        <f>'ЗП октябрь'!E10+'ЗП ноябрь'!F9+'ЗП декабрь'!F9</f>
        <v>26125</v>
      </c>
      <c r="E11" s="46">
        <f>'ЗП октябрь'!F10+'ЗП ноябрь'!G9+'ЗП декабрь'!G9</f>
        <v>3396.25</v>
      </c>
      <c r="F11" s="45">
        <f>'ЗП октябрь'!G10+'ЗП ноябрь'!H9+'ЗП декабрь'!H9</f>
        <v>22728.75</v>
      </c>
    </row>
    <row r="12" spans="1:7" outlineLevel="2" x14ac:dyDescent="0.25">
      <c r="A12" s="31">
        <v>213</v>
      </c>
      <c r="B12" s="31" t="s">
        <v>54</v>
      </c>
      <c r="C12" s="45" t="s">
        <v>64</v>
      </c>
      <c r="D12" s="46">
        <f>'ЗП октябрь'!E18+'ЗП ноябрь'!F17+'ЗП декабрь'!F17</f>
        <v>37829</v>
      </c>
      <c r="E12" s="46">
        <f>'ЗП октябрь'!F18+'ЗП ноябрь'!G17+'ЗП декабрь'!G17</f>
        <v>4917.7700000000004</v>
      </c>
      <c r="F12" s="45">
        <f>'ЗП октябрь'!G18+'ЗП ноябрь'!H17+'ЗП декабрь'!H17</f>
        <v>32911.230000000003</v>
      </c>
    </row>
    <row r="13" spans="1:7" outlineLevel="2" x14ac:dyDescent="0.25">
      <c r="A13" s="31">
        <v>209</v>
      </c>
      <c r="B13" s="31" t="s">
        <v>50</v>
      </c>
      <c r="C13" s="45" t="s">
        <v>64</v>
      </c>
      <c r="D13" s="46">
        <f>'ЗП октябрь'!E14+'ЗП ноябрь'!F13+'ЗП декабрь'!F13</f>
        <v>31977</v>
      </c>
      <c r="E13" s="46">
        <f>'ЗП октябрь'!F14+'ЗП ноябрь'!G13+'ЗП декабрь'!G13</f>
        <v>4157.01</v>
      </c>
      <c r="F13" s="45">
        <f>'ЗП октябрь'!G14+'ЗП ноябрь'!H13+'ЗП декабрь'!H13</f>
        <v>27819.989999999998</v>
      </c>
    </row>
    <row r="14" spans="1:7" outlineLevel="1" x14ac:dyDescent="0.25">
      <c r="A14" s="31"/>
      <c r="B14" s="31"/>
      <c r="C14" s="53" t="s">
        <v>68</v>
      </c>
      <c r="D14" s="46">
        <f>SUBTOTAL(9,D9:D13)</f>
        <v>154033</v>
      </c>
      <c r="E14" s="46">
        <f>SUBTOTAL(9,E9:E13)</f>
        <v>20024.29</v>
      </c>
      <c r="F14" s="45">
        <f>SUBTOTAL(9,F9:F13)</f>
        <v>134008.71</v>
      </c>
    </row>
    <row r="15" spans="1:7" outlineLevel="2" x14ac:dyDescent="0.25">
      <c r="A15" s="31">
        <v>208</v>
      </c>
      <c r="B15" s="31" t="s">
        <v>49</v>
      </c>
      <c r="C15" s="45" t="s">
        <v>65</v>
      </c>
      <c r="D15" s="46">
        <f>'ЗП октябрь'!E13+'ЗП ноябрь'!F12+'ЗП декабрь'!F12</f>
        <v>30514</v>
      </c>
      <c r="E15" s="46">
        <f>'ЗП октябрь'!F13+'ЗП ноябрь'!G12+'ЗП декабрь'!G12</f>
        <v>3966.82</v>
      </c>
      <c r="F15" s="45">
        <f>'ЗП октябрь'!G13+'ЗП ноябрь'!H12+'ЗП декабрь'!H12</f>
        <v>26547.18</v>
      </c>
    </row>
    <row r="16" spans="1:7" outlineLevel="2" x14ac:dyDescent="0.25">
      <c r="A16" s="31">
        <v>206</v>
      </c>
      <c r="B16" s="31" t="s">
        <v>47</v>
      </c>
      <c r="C16" s="45" t="s">
        <v>65</v>
      </c>
      <c r="D16" s="46">
        <f>'ЗП октябрь'!E11+'ЗП ноябрь'!F10+'ЗП декабрь'!F10</f>
        <v>27588</v>
      </c>
      <c r="E16" s="46">
        <f>'ЗП октябрь'!F11+'ЗП ноябрь'!G10+'ЗП декабрь'!G10</f>
        <v>3586.4399999999996</v>
      </c>
      <c r="F16" s="45">
        <f>'ЗП октябрь'!G11+'ЗП ноябрь'!H10+'ЗП декабрь'!H10</f>
        <v>24001.56</v>
      </c>
    </row>
    <row r="17" spans="1:6" outlineLevel="2" x14ac:dyDescent="0.25">
      <c r="A17" s="31">
        <v>200</v>
      </c>
      <c r="B17" s="31" t="s">
        <v>41</v>
      </c>
      <c r="C17" s="45" t="s">
        <v>65</v>
      </c>
      <c r="D17" s="46">
        <f>'ЗП октябрь'!E5+'ЗП ноябрь'!F4+'ЗП декабрь'!F4</f>
        <v>18810</v>
      </c>
      <c r="E17" s="46">
        <f>'ЗП октябрь'!F5+'ЗП ноябрь'!G4+'ЗП декабрь'!G4</f>
        <v>2445.3000000000002</v>
      </c>
      <c r="F17" s="45">
        <f>'ЗП октябрь'!G5+'ЗП ноябрь'!H4+'ЗП декабрь'!H4</f>
        <v>16364.7</v>
      </c>
    </row>
    <row r="18" spans="1:6" outlineLevel="2" x14ac:dyDescent="0.25">
      <c r="A18" s="31">
        <v>207</v>
      </c>
      <c r="B18" s="31" t="s">
        <v>48</v>
      </c>
      <c r="C18" s="45" t="s">
        <v>65</v>
      </c>
      <c r="D18" s="46">
        <f>'ЗП октябрь'!E12+'ЗП ноябрь'!F11+'ЗП декабрь'!F11</f>
        <v>29051</v>
      </c>
      <c r="E18" s="46">
        <f>'ЗП октябрь'!F12+'ЗП ноябрь'!G11+'ЗП декабрь'!G11</f>
        <v>3776.63</v>
      </c>
      <c r="F18" s="45">
        <f>'ЗП октябрь'!G12+'ЗП ноябрь'!H11+'ЗП декабрь'!H11</f>
        <v>25274.370000000003</v>
      </c>
    </row>
    <row r="19" spans="1:6" outlineLevel="2" x14ac:dyDescent="0.25">
      <c r="A19" s="31">
        <v>203</v>
      </c>
      <c r="B19" s="31" t="s">
        <v>44</v>
      </c>
      <c r="C19" s="45" t="s">
        <v>65</v>
      </c>
      <c r="D19" s="46">
        <f>'ЗП октябрь'!E8+'ЗП ноябрь'!F7+'ЗП декабрь'!F7</f>
        <v>23199</v>
      </c>
      <c r="E19" s="46">
        <f>'ЗП октябрь'!F8+'ЗП ноябрь'!G7+'ЗП декабрь'!G7</f>
        <v>3015.8700000000003</v>
      </c>
      <c r="F19" s="45">
        <f>'ЗП октябрь'!G8+'ЗП ноябрь'!H7+'ЗП декабрь'!H7</f>
        <v>20183.129999999997</v>
      </c>
    </row>
    <row r="20" spans="1:6" outlineLevel="2" x14ac:dyDescent="0.25">
      <c r="A20" s="31">
        <v>211</v>
      </c>
      <c r="B20" s="31" t="s">
        <v>52</v>
      </c>
      <c r="C20" s="45" t="s">
        <v>65</v>
      </c>
      <c r="D20" s="46">
        <f>'ЗП октябрь'!E16+'ЗП ноябрь'!F15+'ЗП декабрь'!F15</f>
        <v>34903</v>
      </c>
      <c r="E20" s="46">
        <f>'ЗП октябрь'!F16+'ЗП ноябрь'!G15+'ЗП декабрь'!G15</f>
        <v>4537.3900000000003</v>
      </c>
      <c r="F20" s="45">
        <f>'ЗП октябрь'!G16+'ЗП ноябрь'!H15+'ЗП декабрь'!H15</f>
        <v>30365.61</v>
      </c>
    </row>
    <row r="21" spans="1:6" outlineLevel="1" x14ac:dyDescent="0.25">
      <c r="A21" s="31"/>
      <c r="B21" s="31"/>
      <c r="C21" s="53" t="s">
        <v>69</v>
      </c>
      <c r="D21" s="46">
        <f>SUBTOTAL(9,D15:D20)</f>
        <v>164065</v>
      </c>
      <c r="E21" s="46">
        <f>SUBTOTAL(9,E15:E20)</f>
        <v>21328.45</v>
      </c>
      <c r="F21" s="45">
        <f>SUBTOTAL(9,F15:F20)</f>
        <v>142736.54999999999</v>
      </c>
    </row>
    <row r="22" spans="1:6" x14ac:dyDescent="0.25">
      <c r="A22" s="31"/>
      <c r="B22" s="31"/>
      <c r="C22" s="53" t="s">
        <v>70</v>
      </c>
      <c r="D22" s="46">
        <f>SUBTOTAL(9,D4:D20)</f>
        <v>396473</v>
      </c>
      <c r="E22" s="46">
        <f>SUBTOTAL(9,E4:E20)</f>
        <v>51541.490000000005</v>
      </c>
      <c r="F22" s="45">
        <f>SUBTOTAL(9,F4:F20)</f>
        <v>344931.50999999995</v>
      </c>
    </row>
    <row r="23" spans="1:6" x14ac:dyDescent="0.25">
      <c r="A23" s="31"/>
      <c r="B23" s="31" t="s">
        <v>58</v>
      </c>
      <c r="C23" s="31"/>
      <c r="D23" s="31"/>
      <c r="E23" s="31"/>
      <c r="F23" s="31"/>
    </row>
    <row r="24" spans="1:6" x14ac:dyDescent="0.25">
      <c r="A24" s="24" t="s">
        <v>55</v>
      </c>
      <c r="B24" s="24"/>
      <c r="C24" s="43">
        <f>MIN(C5:C20)</f>
        <v>0</v>
      </c>
    </row>
    <row r="25" spans="1:6" x14ac:dyDescent="0.25">
      <c r="A25" s="24" t="s">
        <v>56</v>
      </c>
      <c r="B25" s="24"/>
      <c r="C25" s="43">
        <f>MAX(C5:C20)</f>
        <v>0</v>
      </c>
    </row>
    <row r="26" spans="1:6" x14ac:dyDescent="0.25">
      <c r="A26" s="24" t="s">
        <v>57</v>
      </c>
      <c r="B26" s="24"/>
      <c r="C26" s="43" t="e">
        <f>AVERAGE(C5:C20)</f>
        <v>#DIV/0!</v>
      </c>
    </row>
  </sheetData>
  <sortState xmlns:xlrd2="http://schemas.microsoft.com/office/spreadsheetml/2017/richdata2" ref="A5:F20">
    <sortCondition ref="C5:C20"/>
    <sortCondition ref="B5:B20"/>
  </sortState>
  <mergeCells count="5">
    <mergeCell ref="A1:G1"/>
    <mergeCell ref="A2:G2"/>
    <mergeCell ref="A24:B24"/>
    <mergeCell ref="A25:B25"/>
    <mergeCell ref="A26:B26"/>
  </mergeCells>
  <phoneticPr fontId="4" type="noConversion"/>
  <conditionalFormatting sqref="F5:F22">
    <cfRule type="cellIs" dxfId="4" priority="1" operator="greaterThan">
      <formula>10000</formula>
    </cfRule>
    <cfRule type="cellIs" dxfId="3" priority="2" operator="between">
      <formula>7000</formula>
      <formula>10000</formula>
    </cfRule>
    <cfRule type="cellIs" dxfId="2" priority="3" operator="between">
      <formula>5000</formula>
      <formula>7000</formula>
    </cfRule>
    <cfRule type="cellIs" dxfId="1" priority="4" operator="lessThan">
      <formula>7000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9D18A-C9EC-4583-9447-DF0C1551345D}">
  <dimension ref="A1:G21"/>
  <sheetViews>
    <sheetView workbookViewId="0">
      <selection activeCell="S10" sqref="S10"/>
    </sheetView>
  </sheetViews>
  <sheetFormatPr defaultRowHeight="15" x14ac:dyDescent="0.25"/>
  <cols>
    <col min="1" max="1" width="10.7109375" bestFit="1" customWidth="1"/>
    <col min="2" max="2" width="10.85546875" bestFit="1" customWidth="1"/>
    <col min="3" max="3" width="10.28515625" bestFit="1" customWidth="1"/>
    <col min="4" max="4" width="9.42578125" bestFit="1" customWidth="1"/>
    <col min="5" max="5" width="8.28515625" bestFit="1" customWidth="1"/>
    <col min="6" max="6" width="9.7109375" customWidth="1"/>
    <col min="7" max="7" width="10.140625" customWidth="1"/>
  </cols>
  <sheetData>
    <row r="1" spans="1:7" x14ac:dyDescent="0.25">
      <c r="A1" s="65" t="s">
        <v>91</v>
      </c>
      <c r="B1" s="66"/>
      <c r="C1" s="66"/>
      <c r="D1" s="67"/>
    </row>
    <row r="2" spans="1:7" x14ac:dyDescent="0.25">
      <c r="A2" s="31" t="s">
        <v>92</v>
      </c>
      <c r="B2" s="31" t="s">
        <v>93</v>
      </c>
      <c r="C2" s="31" t="s">
        <v>94</v>
      </c>
      <c r="D2" s="31" t="s">
        <v>95</v>
      </c>
    </row>
    <row r="3" spans="1:7" x14ac:dyDescent="0.25">
      <c r="A3" s="31" t="s">
        <v>96</v>
      </c>
      <c r="B3" s="31">
        <v>1</v>
      </c>
      <c r="C3" s="46">
        <v>15256.7</v>
      </c>
      <c r="D3" s="46">
        <v>3000</v>
      </c>
    </row>
    <row r="4" spans="1:7" x14ac:dyDescent="0.25">
      <c r="A4" s="31" t="s">
        <v>97</v>
      </c>
      <c r="B4" s="31">
        <v>2</v>
      </c>
      <c r="C4" s="46">
        <v>10450.15</v>
      </c>
      <c r="D4" s="46">
        <v>3000</v>
      </c>
    </row>
    <row r="5" spans="1:7" x14ac:dyDescent="0.25">
      <c r="A5" s="31" t="s">
        <v>98</v>
      </c>
      <c r="B5" s="31">
        <v>3</v>
      </c>
      <c r="C5" s="46">
        <v>5922.37</v>
      </c>
      <c r="D5" s="46">
        <v>3000</v>
      </c>
    </row>
    <row r="7" spans="1:7" x14ac:dyDescent="0.25">
      <c r="A7" s="59" t="s">
        <v>105</v>
      </c>
      <c r="B7" s="59"/>
      <c r="C7" s="59"/>
      <c r="D7" s="59"/>
      <c r="E7" s="59"/>
      <c r="F7" s="59"/>
      <c r="G7" s="59"/>
    </row>
    <row r="8" spans="1:7" x14ac:dyDescent="0.25">
      <c r="A8" s="60" t="s">
        <v>99</v>
      </c>
      <c r="B8" s="3" t="s">
        <v>100</v>
      </c>
      <c r="C8" s="60" t="s">
        <v>101</v>
      </c>
      <c r="D8" s="3" t="s">
        <v>4</v>
      </c>
      <c r="E8" s="3" t="s">
        <v>102</v>
      </c>
      <c r="F8" s="3" t="s">
        <v>103</v>
      </c>
      <c r="G8" s="3" t="s">
        <v>104</v>
      </c>
    </row>
    <row r="9" spans="1:7" x14ac:dyDescent="0.25">
      <c r="A9" s="3">
        <v>1</v>
      </c>
      <c r="B9" s="3" t="s">
        <v>106</v>
      </c>
      <c r="C9" s="3">
        <v>2</v>
      </c>
      <c r="D9" s="68">
        <f>IF(C9=$B$3,$C$3,IF(C9=$B$4,$C$4,$C$5))</f>
        <v>10450.15</v>
      </c>
      <c r="E9" s="68">
        <f>IF(C9=$B$3,$D$3,IF(C9=$B$4,$D$4,$D$5))</f>
        <v>3000</v>
      </c>
      <c r="F9" s="68">
        <f>SUM(D9,E9,)*0.13</f>
        <v>1748.5195000000001</v>
      </c>
      <c r="G9" s="68">
        <f>D9+E9-F9</f>
        <v>11701.630499999999</v>
      </c>
    </row>
    <row r="10" spans="1:7" x14ac:dyDescent="0.25">
      <c r="A10" s="3">
        <v>2</v>
      </c>
      <c r="B10" s="3" t="s">
        <v>107</v>
      </c>
      <c r="C10" s="3">
        <v>3</v>
      </c>
      <c r="D10" s="68">
        <f t="shared" ref="D10:D18" si="0">IF(C10=$B$3,$C$3,IF(C10=$B$4,$C$4,$C$5))</f>
        <v>5922.37</v>
      </c>
      <c r="E10" s="68">
        <f t="shared" ref="E10:E18" si="1">IF(C10=$B$3,$D$3,IF(C10=$B$4,$D$4,$D$5))</f>
        <v>3000</v>
      </c>
      <c r="F10" s="68">
        <f t="shared" ref="F10:F18" si="2">SUM(D10,E10,)*0.13</f>
        <v>1159.9080999999999</v>
      </c>
      <c r="G10" s="68">
        <f t="shared" ref="G10:G18" si="3">D10+E10-F10</f>
        <v>7762.4618999999993</v>
      </c>
    </row>
    <row r="11" spans="1:7" x14ac:dyDescent="0.25">
      <c r="A11" s="3">
        <v>3</v>
      </c>
      <c r="B11" s="3" t="s">
        <v>108</v>
      </c>
      <c r="C11" s="3">
        <v>2</v>
      </c>
      <c r="D11" s="68">
        <f t="shared" si="0"/>
        <v>10450.15</v>
      </c>
      <c r="E11" s="68">
        <f t="shared" si="1"/>
        <v>3000</v>
      </c>
      <c r="F11" s="68">
        <f t="shared" si="2"/>
        <v>1748.5195000000001</v>
      </c>
      <c r="G11" s="68">
        <f t="shared" si="3"/>
        <v>11701.630499999999</v>
      </c>
    </row>
    <row r="12" spans="1:7" x14ac:dyDescent="0.25">
      <c r="A12" s="3">
        <v>4</v>
      </c>
      <c r="B12" s="3" t="s">
        <v>109</v>
      </c>
      <c r="C12" s="3">
        <v>3</v>
      </c>
      <c r="D12" s="68">
        <f t="shared" si="0"/>
        <v>5922.37</v>
      </c>
      <c r="E12" s="68">
        <f t="shared" si="1"/>
        <v>3000</v>
      </c>
      <c r="F12" s="68">
        <f t="shared" si="2"/>
        <v>1159.9080999999999</v>
      </c>
      <c r="G12" s="68">
        <f t="shared" si="3"/>
        <v>7762.4618999999993</v>
      </c>
    </row>
    <row r="13" spans="1:7" x14ac:dyDescent="0.25">
      <c r="A13" s="3">
        <v>5</v>
      </c>
      <c r="B13" s="3" t="s">
        <v>110</v>
      </c>
      <c r="C13" s="3">
        <v>3</v>
      </c>
      <c r="D13" s="68">
        <f t="shared" si="0"/>
        <v>5922.37</v>
      </c>
      <c r="E13" s="68">
        <f t="shared" si="1"/>
        <v>3000</v>
      </c>
      <c r="F13" s="68">
        <f t="shared" si="2"/>
        <v>1159.9080999999999</v>
      </c>
      <c r="G13" s="68">
        <f t="shared" si="3"/>
        <v>7762.4618999999993</v>
      </c>
    </row>
    <row r="14" spans="1:7" x14ac:dyDescent="0.25">
      <c r="A14" s="3">
        <v>6</v>
      </c>
      <c r="B14" s="3" t="s">
        <v>111</v>
      </c>
      <c r="C14" s="3">
        <v>3</v>
      </c>
      <c r="D14" s="68">
        <f t="shared" si="0"/>
        <v>5922.37</v>
      </c>
      <c r="E14" s="68">
        <f t="shared" si="1"/>
        <v>3000</v>
      </c>
      <c r="F14" s="68">
        <f t="shared" si="2"/>
        <v>1159.9080999999999</v>
      </c>
      <c r="G14" s="68">
        <f t="shared" si="3"/>
        <v>7762.4618999999993</v>
      </c>
    </row>
    <row r="15" spans="1:7" x14ac:dyDescent="0.25">
      <c r="A15" s="3">
        <v>7</v>
      </c>
      <c r="B15" s="3" t="s">
        <v>112</v>
      </c>
      <c r="C15" s="3">
        <v>1</v>
      </c>
      <c r="D15" s="68">
        <f t="shared" si="0"/>
        <v>15256.7</v>
      </c>
      <c r="E15" s="68">
        <f t="shared" si="1"/>
        <v>3000</v>
      </c>
      <c r="F15" s="68">
        <f t="shared" si="2"/>
        <v>2373.3710000000001</v>
      </c>
      <c r="G15" s="68">
        <f t="shared" si="3"/>
        <v>15883.329000000002</v>
      </c>
    </row>
    <row r="16" spans="1:7" x14ac:dyDescent="0.25">
      <c r="A16" s="3">
        <v>8</v>
      </c>
      <c r="B16" s="3" t="s">
        <v>113</v>
      </c>
      <c r="C16" s="3">
        <v>3</v>
      </c>
      <c r="D16" s="68">
        <f t="shared" si="0"/>
        <v>5922.37</v>
      </c>
      <c r="E16" s="68">
        <f t="shared" si="1"/>
        <v>3000</v>
      </c>
      <c r="F16" s="68">
        <f t="shared" si="2"/>
        <v>1159.9080999999999</v>
      </c>
      <c r="G16" s="68">
        <f t="shared" si="3"/>
        <v>7762.4618999999993</v>
      </c>
    </row>
    <row r="17" spans="1:7" x14ac:dyDescent="0.25">
      <c r="A17" s="3">
        <v>9</v>
      </c>
      <c r="B17" s="3" t="s">
        <v>114</v>
      </c>
      <c r="C17" s="3">
        <v>3</v>
      </c>
      <c r="D17" s="68">
        <f>IF(C17=$B$3,$C$3,IF(C17=$B$4,$C$4,$C$5))</f>
        <v>5922.37</v>
      </c>
      <c r="E17" s="68">
        <f>IF(C17=$B$3,$D$3,IF(C17=$B$4,$D$4,$D$5))</f>
        <v>3000</v>
      </c>
      <c r="F17" s="68">
        <f>SUM(D17,E17,)*0.13</f>
        <v>1159.9080999999999</v>
      </c>
      <c r="G17" s="68">
        <f>D17+E17-F17</f>
        <v>7762.4618999999993</v>
      </c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61" t="s">
        <v>115</v>
      </c>
      <c r="B19" s="61"/>
      <c r="C19" s="61"/>
      <c r="D19" s="61"/>
      <c r="E19" s="61"/>
      <c r="F19" s="61"/>
      <c r="G19" s="68">
        <f>SUM(G9:G18)</f>
        <v>85861.361399999994</v>
      </c>
    </row>
    <row r="20" spans="1:7" x14ac:dyDescent="0.25">
      <c r="F20" s="3" t="s">
        <v>116</v>
      </c>
      <c r="G20" s="68">
        <f>MIN(G9:G17)</f>
        <v>7762.4618999999993</v>
      </c>
    </row>
    <row r="21" spans="1:7" x14ac:dyDescent="0.25">
      <c r="F21" s="3" t="s">
        <v>117</v>
      </c>
      <c r="G21" s="68">
        <f>MAX(G9:G17)</f>
        <v>15883.329000000002</v>
      </c>
    </row>
  </sheetData>
  <mergeCells count="3">
    <mergeCell ref="A1:D1"/>
    <mergeCell ref="A7:G7"/>
    <mergeCell ref="A19:F19"/>
  </mergeCells>
  <conditionalFormatting sqref="G9:G17">
    <cfRule type="cellIs" dxfId="0" priority="1" operator="equal">
      <formula>$G$21</formula>
    </cfRule>
  </conditionalFormatting>
  <pageMargins left="0.7" right="0.7" top="0.75" bottom="0.75" header="0.3" footer="0.3"/>
  <pageSetup paperSize="9" orientation="portrait" horizontalDpi="300" verticalDpi="0" copies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C5DC0-3369-46BB-97F0-4F379D966A24}">
  <dimension ref="A1:B4"/>
  <sheetViews>
    <sheetView tabSelected="1" workbookViewId="0">
      <selection activeCell="C8" sqref="C8"/>
    </sheetView>
  </sheetViews>
  <sheetFormatPr defaultRowHeight="15" x14ac:dyDescent="0.25"/>
  <cols>
    <col min="2" max="2" width="18" customWidth="1"/>
  </cols>
  <sheetData>
    <row r="1" spans="1:2" ht="51" customHeight="1" x14ac:dyDescent="0.25">
      <c r="A1" s="69" t="s">
        <v>118</v>
      </c>
      <c r="B1" s="69"/>
    </row>
    <row r="2" spans="1:2" x14ac:dyDescent="0.25">
      <c r="A2" s="3" t="s">
        <v>119</v>
      </c>
      <c r="B2" s="3">
        <f>Выручка!F13</f>
        <v>51837.5</v>
      </c>
    </row>
    <row r="3" spans="1:2" x14ac:dyDescent="0.25">
      <c r="A3" s="3" t="s">
        <v>120</v>
      </c>
      <c r="B3" s="3">
        <f>Расходы!C8</f>
        <v>27500</v>
      </c>
    </row>
    <row r="4" spans="1:2" x14ac:dyDescent="0.25">
      <c r="A4" s="3" t="s">
        <v>121</v>
      </c>
      <c r="B4" s="3">
        <f>B2-B3</f>
        <v>24337.5</v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15D37-3962-44C0-BA42-F150FCD04E3B}">
  <dimension ref="A1:F13"/>
  <sheetViews>
    <sheetView workbookViewId="0">
      <selection activeCell="F13" sqref="F13"/>
    </sheetView>
  </sheetViews>
  <sheetFormatPr defaultRowHeight="15" x14ac:dyDescent="0.25"/>
  <cols>
    <col min="1" max="1" width="3.140625" bestFit="1" customWidth="1"/>
    <col min="2" max="2" width="11.42578125" bestFit="1" customWidth="1"/>
    <col min="3" max="3" width="16.42578125" bestFit="1" customWidth="1"/>
    <col min="4" max="5" width="14.140625" bestFit="1" customWidth="1"/>
    <col min="6" max="6" width="7.42578125" bestFit="1" customWidth="1"/>
  </cols>
  <sheetData>
    <row r="1" spans="1:6" x14ac:dyDescent="0.25">
      <c r="A1" s="62" t="s">
        <v>138</v>
      </c>
      <c r="B1" s="63"/>
      <c r="C1" s="63"/>
      <c r="D1" s="64"/>
      <c r="E1" s="3" t="s">
        <v>127</v>
      </c>
      <c r="F1" s="70">
        <v>14.5</v>
      </c>
    </row>
    <row r="2" spans="1:6" x14ac:dyDescent="0.25">
      <c r="A2" s="3" t="s">
        <v>99</v>
      </c>
      <c r="B2" s="3" t="s">
        <v>122</v>
      </c>
      <c r="C2" s="3" t="s">
        <v>123</v>
      </c>
      <c r="D2" s="3" t="s">
        <v>124</v>
      </c>
      <c r="E2" s="3" t="s">
        <v>125</v>
      </c>
      <c r="F2" s="3" t="s">
        <v>126</v>
      </c>
    </row>
    <row r="3" spans="1:6" x14ac:dyDescent="0.25">
      <c r="A3" s="3">
        <v>1</v>
      </c>
      <c r="B3" s="3" t="s">
        <v>128</v>
      </c>
      <c r="C3" s="71">
        <v>1</v>
      </c>
      <c r="D3" s="3">
        <f>C3*$F$1</f>
        <v>14.5</v>
      </c>
      <c r="E3" s="72">
        <v>5</v>
      </c>
      <c r="F3" s="3">
        <f>D3*E3</f>
        <v>72.5</v>
      </c>
    </row>
    <row r="4" spans="1:6" x14ac:dyDescent="0.25">
      <c r="A4" s="3">
        <v>2</v>
      </c>
      <c r="B4" s="3" t="s">
        <v>129</v>
      </c>
      <c r="C4" s="71">
        <v>3</v>
      </c>
      <c r="D4" s="3">
        <f t="shared" ref="D4:D12" si="0">C4*$F$1</f>
        <v>43.5</v>
      </c>
      <c r="E4" s="72">
        <v>10</v>
      </c>
      <c r="F4" s="3">
        <f t="shared" ref="F4:F12" si="1">D4*E4</f>
        <v>435</v>
      </c>
    </row>
    <row r="5" spans="1:6" x14ac:dyDescent="0.25">
      <c r="A5" s="3">
        <v>3</v>
      </c>
      <c r="B5" s="3" t="s">
        <v>130</v>
      </c>
      <c r="C5" s="71">
        <v>5</v>
      </c>
      <c r="D5" s="3">
        <f t="shared" si="0"/>
        <v>72.5</v>
      </c>
      <c r="E5" s="72">
        <v>15</v>
      </c>
      <c r="F5" s="3">
        <f t="shared" si="1"/>
        <v>1087.5</v>
      </c>
    </row>
    <row r="6" spans="1:6" x14ac:dyDescent="0.25">
      <c r="A6" s="3">
        <v>4</v>
      </c>
      <c r="B6" s="3" t="s">
        <v>131</v>
      </c>
      <c r="C6" s="71">
        <v>7</v>
      </c>
      <c r="D6" s="3">
        <f t="shared" si="0"/>
        <v>101.5</v>
      </c>
      <c r="E6" s="72">
        <v>20</v>
      </c>
      <c r="F6" s="3">
        <f t="shared" si="1"/>
        <v>2030</v>
      </c>
    </row>
    <row r="7" spans="1:6" x14ac:dyDescent="0.25">
      <c r="A7" s="3">
        <v>5</v>
      </c>
      <c r="B7" s="3" t="s">
        <v>132</v>
      </c>
      <c r="C7" s="71">
        <v>9</v>
      </c>
      <c r="D7" s="3">
        <f t="shared" si="0"/>
        <v>130.5</v>
      </c>
      <c r="E7" s="72">
        <v>25</v>
      </c>
      <c r="F7" s="3">
        <f t="shared" si="1"/>
        <v>3262.5</v>
      </c>
    </row>
    <row r="8" spans="1:6" x14ac:dyDescent="0.25">
      <c r="A8" s="3">
        <v>6</v>
      </c>
      <c r="B8" s="3" t="s">
        <v>133</v>
      </c>
      <c r="C8" s="71">
        <v>11</v>
      </c>
      <c r="D8" s="3">
        <f t="shared" si="0"/>
        <v>159.5</v>
      </c>
      <c r="E8" s="72">
        <v>30</v>
      </c>
      <c r="F8" s="3">
        <f t="shared" si="1"/>
        <v>4785</v>
      </c>
    </row>
    <row r="9" spans="1:6" x14ac:dyDescent="0.25">
      <c r="A9" s="3">
        <v>7</v>
      </c>
      <c r="B9" s="3" t="s">
        <v>134</v>
      </c>
      <c r="C9" s="71">
        <v>13</v>
      </c>
      <c r="D9" s="3">
        <f t="shared" si="0"/>
        <v>188.5</v>
      </c>
      <c r="E9" s="72">
        <v>35</v>
      </c>
      <c r="F9" s="3">
        <f t="shared" si="1"/>
        <v>6597.5</v>
      </c>
    </row>
    <row r="10" spans="1:6" x14ac:dyDescent="0.25">
      <c r="A10" s="3">
        <v>8</v>
      </c>
      <c r="B10" s="3" t="s">
        <v>135</v>
      </c>
      <c r="C10" s="71">
        <v>15</v>
      </c>
      <c r="D10" s="3">
        <f t="shared" si="0"/>
        <v>217.5</v>
      </c>
      <c r="E10" s="72">
        <v>40</v>
      </c>
      <c r="F10" s="3">
        <f t="shared" si="1"/>
        <v>8700</v>
      </c>
    </row>
    <row r="11" spans="1:6" x14ac:dyDescent="0.25">
      <c r="A11" s="3">
        <v>9</v>
      </c>
      <c r="B11" s="3" t="s">
        <v>136</v>
      </c>
      <c r="C11" s="71">
        <v>17</v>
      </c>
      <c r="D11" s="3">
        <f t="shared" si="0"/>
        <v>246.5</v>
      </c>
      <c r="E11" s="72">
        <v>45</v>
      </c>
      <c r="F11" s="3">
        <f t="shared" si="1"/>
        <v>11092.5</v>
      </c>
    </row>
    <row r="12" spans="1:6" x14ac:dyDescent="0.25">
      <c r="A12" s="3">
        <v>10</v>
      </c>
      <c r="B12" s="3" t="s">
        <v>137</v>
      </c>
      <c r="C12" s="71">
        <v>19</v>
      </c>
      <c r="D12" s="3">
        <f t="shared" si="0"/>
        <v>275.5</v>
      </c>
      <c r="E12" s="72">
        <v>50</v>
      </c>
      <c r="F12" s="3">
        <f t="shared" si="1"/>
        <v>13775</v>
      </c>
    </row>
    <row r="13" spans="1:6" x14ac:dyDescent="0.25">
      <c r="A13" s="61" t="s">
        <v>115</v>
      </c>
      <c r="B13" s="61"/>
      <c r="C13" s="61"/>
      <c r="D13" s="61"/>
      <c r="E13" s="61"/>
      <c r="F13" s="3">
        <f>SUM(F3:F12)</f>
        <v>51837.5</v>
      </c>
    </row>
  </sheetData>
  <mergeCells count="2">
    <mergeCell ref="A13:E13"/>
    <mergeCell ref="A1:D1"/>
  </mergeCells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940D5-43C4-49CB-B76A-ED0F1D0EA4C3}">
  <dimension ref="A1:C8"/>
  <sheetViews>
    <sheetView workbookViewId="0">
      <selection activeCell="F16" sqref="F16"/>
    </sheetView>
  </sheetViews>
  <sheetFormatPr defaultRowHeight="15" x14ac:dyDescent="0.25"/>
  <cols>
    <col min="1" max="1" width="3.140625" bestFit="1" customWidth="1"/>
    <col min="2" max="2" width="15.28515625" bestFit="1" customWidth="1"/>
    <col min="3" max="3" width="15.42578125" bestFit="1" customWidth="1"/>
  </cols>
  <sheetData>
    <row r="1" spans="1:3" x14ac:dyDescent="0.25">
      <c r="A1" s="59" t="s">
        <v>145</v>
      </c>
      <c r="B1" s="59"/>
      <c r="C1" s="59"/>
    </row>
    <row r="2" spans="1:3" x14ac:dyDescent="0.25">
      <c r="A2" s="3" t="s">
        <v>99</v>
      </c>
      <c r="B2" s="3" t="s">
        <v>139</v>
      </c>
      <c r="C2" s="3" t="s">
        <v>140</v>
      </c>
    </row>
    <row r="3" spans="1:3" x14ac:dyDescent="0.25">
      <c r="A3" s="3">
        <v>1</v>
      </c>
      <c r="B3" s="3" t="s">
        <v>104</v>
      </c>
      <c r="C3" s="3">
        <v>2500</v>
      </c>
    </row>
    <row r="4" spans="1:3" x14ac:dyDescent="0.25">
      <c r="A4" s="3">
        <v>2</v>
      </c>
      <c r="B4" s="3" t="s">
        <v>141</v>
      </c>
      <c r="C4" s="3">
        <v>4000</v>
      </c>
    </row>
    <row r="5" spans="1:3" x14ac:dyDescent="0.25">
      <c r="A5" s="3">
        <v>3</v>
      </c>
      <c r="B5" s="3" t="s">
        <v>142</v>
      </c>
      <c r="C5" s="3">
        <v>5500</v>
      </c>
    </row>
    <row r="6" spans="1:3" x14ac:dyDescent="0.25">
      <c r="A6" s="3">
        <v>4</v>
      </c>
      <c r="B6" s="3" t="s">
        <v>143</v>
      </c>
      <c r="C6" s="3">
        <v>7000</v>
      </c>
    </row>
    <row r="7" spans="1:3" x14ac:dyDescent="0.25">
      <c r="A7" s="3">
        <v>5</v>
      </c>
      <c r="B7" s="3" t="s">
        <v>144</v>
      </c>
      <c r="C7" s="3">
        <v>8500</v>
      </c>
    </row>
    <row r="8" spans="1:3" x14ac:dyDescent="0.25">
      <c r="A8" s="59" t="s">
        <v>115</v>
      </c>
      <c r="B8" s="59"/>
      <c r="C8" s="3">
        <f>SUM(C3:C7)</f>
        <v>27500</v>
      </c>
    </row>
  </sheetData>
  <mergeCells count="2">
    <mergeCell ref="A1:C1"/>
    <mergeCell ref="A8:B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18368-4FE9-44E1-8A75-25ABE3FD4697}">
  <dimension ref="A1:H17"/>
  <sheetViews>
    <sheetView workbookViewId="0">
      <selection activeCell="J8" sqref="J8"/>
    </sheetView>
  </sheetViews>
  <sheetFormatPr defaultRowHeight="15" x14ac:dyDescent="0.25"/>
  <cols>
    <col min="1" max="1" width="14.5703125" bestFit="1" customWidth="1"/>
    <col min="2" max="2" width="15" bestFit="1" customWidth="1"/>
    <col min="3" max="3" width="13.140625" customWidth="1"/>
    <col min="4" max="4" width="15" bestFit="1" customWidth="1"/>
    <col min="5" max="5" width="14.7109375" bestFit="1" customWidth="1"/>
    <col min="6" max="6" width="8" bestFit="1" customWidth="1"/>
    <col min="7" max="7" width="10.7109375" bestFit="1" customWidth="1"/>
  </cols>
  <sheetData>
    <row r="1" spans="1:8" x14ac:dyDescent="0.25">
      <c r="A1" s="54" t="s">
        <v>71</v>
      </c>
      <c r="B1" s="54"/>
      <c r="C1" s="54"/>
      <c r="D1" s="54"/>
      <c r="E1" s="54"/>
      <c r="F1" s="54"/>
      <c r="G1" s="54"/>
      <c r="H1" s="26"/>
    </row>
    <row r="2" spans="1:8" ht="60" x14ac:dyDescent="0.25">
      <c r="A2" s="55" t="s">
        <v>72</v>
      </c>
      <c r="B2" s="55" t="s">
        <v>73</v>
      </c>
      <c r="C2" s="55" t="s">
        <v>74</v>
      </c>
      <c r="D2" s="55" t="s">
        <v>75</v>
      </c>
      <c r="E2" s="55" t="s">
        <v>76</v>
      </c>
      <c r="F2" s="55" t="s">
        <v>77</v>
      </c>
      <c r="G2" s="55" t="s">
        <v>78</v>
      </c>
      <c r="H2" s="26"/>
    </row>
    <row r="3" spans="1:8" x14ac:dyDescent="0.25">
      <c r="A3" s="3" t="s">
        <v>79</v>
      </c>
      <c r="B3" s="3" t="s">
        <v>83</v>
      </c>
      <c r="C3" s="56">
        <v>41783</v>
      </c>
      <c r="D3" s="3">
        <v>12</v>
      </c>
      <c r="E3" s="3">
        <v>12</v>
      </c>
      <c r="F3" s="3">
        <v>3100</v>
      </c>
      <c r="G3" s="3">
        <f>F3*D3</f>
        <v>37200</v>
      </c>
    </row>
    <row r="4" spans="1:8" x14ac:dyDescent="0.25">
      <c r="A4" s="3" t="s">
        <v>80</v>
      </c>
      <c r="B4" s="3" t="s">
        <v>84</v>
      </c>
      <c r="C4" s="56">
        <v>41797</v>
      </c>
      <c r="D4" s="3">
        <v>5</v>
      </c>
      <c r="E4" s="3">
        <v>5</v>
      </c>
      <c r="F4" s="3">
        <v>4200</v>
      </c>
      <c r="G4" s="3">
        <f t="shared" ref="G4:G17" si="0">F4*D4</f>
        <v>21000</v>
      </c>
    </row>
    <row r="5" spans="1:8" x14ac:dyDescent="0.25">
      <c r="A5" s="3" t="s">
        <v>81</v>
      </c>
      <c r="B5" s="3" t="s">
        <v>85</v>
      </c>
      <c r="C5" s="56">
        <v>41755</v>
      </c>
      <c r="D5" s="3">
        <v>10</v>
      </c>
      <c r="E5" s="3">
        <v>10</v>
      </c>
      <c r="F5" s="3">
        <v>600</v>
      </c>
      <c r="G5" s="3">
        <f t="shared" si="0"/>
        <v>6000</v>
      </c>
    </row>
    <row r="6" spans="1:8" x14ac:dyDescent="0.25">
      <c r="A6" s="3" t="s">
        <v>82</v>
      </c>
      <c r="B6" s="3" t="s">
        <v>85</v>
      </c>
      <c r="C6" s="56">
        <v>41770</v>
      </c>
      <c r="D6" s="3">
        <v>15</v>
      </c>
      <c r="E6" s="3">
        <v>18</v>
      </c>
      <c r="F6" s="3">
        <v>600</v>
      </c>
      <c r="G6" s="3">
        <f t="shared" si="0"/>
        <v>9000</v>
      </c>
    </row>
    <row r="7" spans="1:8" x14ac:dyDescent="0.25">
      <c r="A7" s="3" t="s">
        <v>81</v>
      </c>
      <c r="B7" s="3" t="s">
        <v>83</v>
      </c>
      <c r="C7" s="56">
        <v>41739</v>
      </c>
      <c r="D7" s="3">
        <v>18</v>
      </c>
      <c r="E7" s="3">
        <v>16</v>
      </c>
      <c r="F7" s="3">
        <v>3100</v>
      </c>
      <c r="G7" s="3">
        <f t="shared" si="0"/>
        <v>55800</v>
      </c>
    </row>
    <row r="8" spans="1:8" x14ac:dyDescent="0.25">
      <c r="A8" s="3" t="s">
        <v>82</v>
      </c>
      <c r="B8" s="3" t="s">
        <v>86</v>
      </c>
      <c r="C8" s="56">
        <v>41818</v>
      </c>
      <c r="D8" s="3">
        <v>8</v>
      </c>
      <c r="E8" s="3">
        <v>10</v>
      </c>
      <c r="F8" s="3">
        <v>2100</v>
      </c>
      <c r="G8" s="3">
        <f t="shared" si="0"/>
        <v>16800</v>
      </c>
    </row>
    <row r="9" spans="1:8" x14ac:dyDescent="0.25">
      <c r="A9" s="3" t="s">
        <v>80</v>
      </c>
      <c r="B9" s="3" t="s">
        <v>87</v>
      </c>
      <c r="C9" s="57">
        <v>41819</v>
      </c>
      <c r="D9" s="3">
        <v>10</v>
      </c>
      <c r="E9" s="3">
        <v>12</v>
      </c>
      <c r="F9" s="3">
        <v>2300</v>
      </c>
      <c r="G9" s="3">
        <f t="shared" si="0"/>
        <v>23000</v>
      </c>
    </row>
    <row r="10" spans="1:8" x14ac:dyDescent="0.25">
      <c r="A10" s="3" t="s">
        <v>81</v>
      </c>
      <c r="B10" s="3" t="s">
        <v>88</v>
      </c>
      <c r="C10" s="57">
        <v>41762</v>
      </c>
      <c r="D10" s="3">
        <v>15</v>
      </c>
      <c r="E10" s="3">
        <v>15</v>
      </c>
      <c r="F10" s="3">
        <v>1200</v>
      </c>
      <c r="G10" s="3">
        <f t="shared" si="0"/>
        <v>18000</v>
      </c>
    </row>
    <row r="11" spans="1:8" x14ac:dyDescent="0.25">
      <c r="A11" s="3" t="s">
        <v>79</v>
      </c>
      <c r="B11" s="3" t="s">
        <v>86</v>
      </c>
      <c r="C11" s="57">
        <v>41775</v>
      </c>
      <c r="D11" s="3">
        <v>24</v>
      </c>
      <c r="E11" s="3">
        <v>24</v>
      </c>
      <c r="F11" s="58">
        <v>2100</v>
      </c>
      <c r="G11" s="3">
        <f t="shared" si="0"/>
        <v>50400</v>
      </c>
    </row>
    <row r="12" spans="1:8" x14ac:dyDescent="0.25">
      <c r="A12" s="3" t="s">
        <v>81</v>
      </c>
      <c r="B12" s="3" t="s">
        <v>87</v>
      </c>
      <c r="C12" s="57">
        <v>41786</v>
      </c>
      <c r="D12" s="3">
        <v>16</v>
      </c>
      <c r="E12" s="3">
        <v>20</v>
      </c>
      <c r="F12" s="3">
        <v>2300</v>
      </c>
      <c r="G12" s="3">
        <f t="shared" si="0"/>
        <v>36800</v>
      </c>
    </row>
    <row r="13" spans="1:8" x14ac:dyDescent="0.25">
      <c r="A13" s="3" t="s">
        <v>82</v>
      </c>
      <c r="B13" s="3" t="s">
        <v>83</v>
      </c>
      <c r="C13" s="57">
        <v>41735</v>
      </c>
      <c r="D13" s="3">
        <v>10</v>
      </c>
      <c r="E13" s="3">
        <v>10</v>
      </c>
      <c r="F13" s="3">
        <v>3100</v>
      </c>
      <c r="G13" s="3">
        <f t="shared" si="0"/>
        <v>31000</v>
      </c>
    </row>
    <row r="14" spans="1:8" x14ac:dyDescent="0.25">
      <c r="A14" s="3" t="s">
        <v>81</v>
      </c>
      <c r="B14" s="3" t="s">
        <v>89</v>
      </c>
      <c r="C14" s="57">
        <v>41788</v>
      </c>
      <c r="D14" s="3">
        <v>8</v>
      </c>
      <c r="E14" s="3">
        <v>8</v>
      </c>
      <c r="F14" s="3">
        <v>900</v>
      </c>
      <c r="G14" s="3">
        <f t="shared" si="0"/>
        <v>7200</v>
      </c>
    </row>
    <row r="15" spans="1:8" x14ac:dyDescent="0.25">
      <c r="A15" s="3" t="s">
        <v>80</v>
      </c>
      <c r="B15" s="3" t="s">
        <v>89</v>
      </c>
      <c r="C15" s="57">
        <v>41776</v>
      </c>
      <c r="D15" s="3">
        <v>12</v>
      </c>
      <c r="E15" s="3">
        <v>10</v>
      </c>
      <c r="F15" s="3">
        <v>1200</v>
      </c>
      <c r="G15" s="3">
        <f t="shared" si="0"/>
        <v>14400</v>
      </c>
    </row>
    <row r="16" spans="1:8" x14ac:dyDescent="0.25">
      <c r="A16" s="3" t="s">
        <v>81</v>
      </c>
      <c r="B16" s="3" t="s">
        <v>84</v>
      </c>
      <c r="C16" s="57">
        <v>41793</v>
      </c>
      <c r="D16" s="3">
        <v>22</v>
      </c>
      <c r="E16" s="3">
        <v>20</v>
      </c>
      <c r="F16" s="3">
        <v>4200</v>
      </c>
      <c r="G16" s="3">
        <f t="shared" si="0"/>
        <v>92400</v>
      </c>
    </row>
    <row r="17" spans="1:7" x14ac:dyDescent="0.25">
      <c r="A17" s="3" t="s">
        <v>79</v>
      </c>
      <c r="B17" s="3" t="s">
        <v>90</v>
      </c>
      <c r="C17" s="57">
        <v>41751</v>
      </c>
      <c r="D17" s="3">
        <v>10</v>
      </c>
      <c r="E17" s="3">
        <v>8</v>
      </c>
      <c r="F17" s="3">
        <v>950</v>
      </c>
      <c r="G17" s="3">
        <f t="shared" si="0"/>
        <v>9500</v>
      </c>
    </row>
  </sheetData>
  <mergeCells count="1">
    <mergeCell ref="A1:G1"/>
  </mergeCells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Ведомость</vt:lpstr>
      <vt:lpstr>Формулы</vt:lpstr>
      <vt:lpstr>Лист2</vt:lpstr>
      <vt:lpstr>ЗП октябрь</vt:lpstr>
      <vt:lpstr>ЗП ноябрь</vt:lpstr>
      <vt:lpstr>ЗП декабрь</vt:lpstr>
      <vt:lpstr>Итоги за квартал</vt:lpstr>
      <vt:lpstr>Оклад</vt:lpstr>
      <vt:lpstr>Итоги</vt:lpstr>
      <vt:lpstr>Выручка</vt:lpstr>
      <vt:lpstr>Расходы</vt:lpstr>
      <vt:lpstr>Учет заказов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Кудлаш Иван</dc:creator>
  <cp:lastModifiedBy>Кудлаш Иван</cp:lastModifiedBy>
  <dcterms:created xsi:type="dcterms:W3CDTF">2015-06-05T18:19:34Z</dcterms:created>
  <dcterms:modified xsi:type="dcterms:W3CDTF">2026-03-28T08:18:15Z</dcterms:modified>
</cp:coreProperties>
</file>