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2\"/>
    </mc:Choice>
  </mc:AlternateContent>
  <xr:revisionPtr revIDLastSave="0" documentId="13_ncr:1_{53F98D63-5F0A-47DF-9E97-F1F1BAA19A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8" i="1"/>
  <c r="E14" i="1"/>
  <c r="E13" i="1"/>
  <c r="I3" i="1"/>
  <c r="I4" i="1"/>
  <c r="I5" i="1"/>
  <c r="I6" i="1"/>
  <c r="I7" i="1"/>
  <c r="I8" i="1"/>
  <c r="I9" i="1"/>
  <c r="I10" i="1"/>
  <c r="I11" i="1"/>
  <c r="I2" i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2" i="1"/>
  <c r="J2" i="1" s="1"/>
  <c r="D20" i="1" l="1"/>
  <c r="D19" i="1"/>
  <c r="D18" i="1"/>
  <c r="H14" i="1"/>
  <c r="H13" i="1"/>
  <c r="J13" i="1"/>
</calcChain>
</file>

<file path=xl/sharedStrings.xml><?xml version="1.0" encoding="utf-8"?>
<sst xmlns="http://schemas.openxmlformats.org/spreadsheetml/2006/main" count="41" uniqueCount="29">
  <si>
    <t>ФИО</t>
  </si>
  <si>
    <t>Месяц</t>
  </si>
  <si>
    <t>Дата поступления</t>
  </si>
  <si>
    <t>Рабочих дней в месяце</t>
  </si>
  <si>
    <t xml:space="preserve">Средний заработок </t>
  </si>
  <si>
    <t>Дата выдачи больничного</t>
  </si>
  <si>
    <t>Дата окончания больничного</t>
  </si>
  <si>
    <t>Март</t>
  </si>
  <si>
    <t>Апрель</t>
  </si>
  <si>
    <t>Май</t>
  </si>
  <si>
    <t>КИО</t>
  </si>
  <si>
    <t>ФДК</t>
  </si>
  <si>
    <t>КДА</t>
  </si>
  <si>
    <t>АДК</t>
  </si>
  <si>
    <t>АГЕ</t>
  </si>
  <si>
    <t>ЕОМ</t>
  </si>
  <si>
    <t>ТОР</t>
  </si>
  <si>
    <t>РОГ</t>
  </si>
  <si>
    <t>ДОВ</t>
  </si>
  <si>
    <t>ВГК</t>
  </si>
  <si>
    <t>Стаж</t>
  </si>
  <si>
    <t>Дней по б/л</t>
  </si>
  <si>
    <t>К оплате по б/л</t>
  </si>
  <si>
    <t xml:space="preserve"> Общая оплата</t>
  </si>
  <si>
    <t>Средний стаж</t>
  </si>
  <si>
    <t>Стаж больше 8 лет</t>
  </si>
  <si>
    <t>Макс</t>
  </si>
  <si>
    <t>Мин</t>
  </si>
  <si>
    <t xml:space="preserve">К оплате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</si>
</sst>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3" xfId="0" applyNumberFormat="1" applyBorder="1"/>
    <xf numFmtId="14" fontId="0" fillId="0" borderId="1" xfId="0" applyNumberFormat="1" applyBorder="1"/>
    <xf numFmtId="0" fontId="0" fillId="0" borderId="2" xfId="0" applyFill="1" applyBorder="1"/>
    <xf numFmtId="168" fontId="0" fillId="0" borderId="3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8" fontId="0" fillId="0" borderId="8" xfId="0" applyNumberFormat="1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Лист1!$D$17</c:f>
              <c:strCache>
                <c:ptCount val="1"/>
                <c:pt idx="0">
                  <c:v>К оплате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Лист1!$C$18:$C$20</c:f>
              <c:strCache>
                <c:ptCount val="3"/>
                <c:pt idx="0">
                  <c:v>Март</c:v>
                </c:pt>
                <c:pt idx="1">
                  <c:v>Апрель</c:v>
                </c:pt>
                <c:pt idx="2">
                  <c:v>Май</c:v>
                </c:pt>
              </c:strCache>
            </c:strRef>
          </c:cat>
          <c:val>
            <c:numRef>
              <c:f>Лист1!$D$18:$D$20</c:f>
              <c:numCache>
                <c:formatCode>General</c:formatCode>
                <c:ptCount val="3"/>
                <c:pt idx="0">
                  <c:v>2700</c:v>
                </c:pt>
                <c:pt idx="1">
                  <c:v>2296</c:v>
                </c:pt>
                <c:pt idx="2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6-4671-88DD-5456A3CFE573}"/>
            </c:ext>
          </c:extLst>
        </c:ser>
        <c:ser>
          <c:idx val="1"/>
          <c:order val="1"/>
          <c:tx>
            <c:strRef>
              <c:f>Лист1!$E$17</c:f>
              <c:strCache>
                <c:ptCount val="1"/>
                <c:pt idx="0">
                  <c:v>Дней по б/л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Лист1!$C$18:$C$20</c:f>
              <c:strCache>
                <c:ptCount val="3"/>
                <c:pt idx="0">
                  <c:v>Март</c:v>
                </c:pt>
                <c:pt idx="1">
                  <c:v>Апрель</c:v>
                </c:pt>
                <c:pt idx="2">
                  <c:v>Май</c:v>
                </c:pt>
              </c:strCache>
            </c:strRef>
          </c:cat>
          <c:val>
            <c:numRef>
              <c:f>Лист1!$E$18:$E$20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86-4671-88DD-5456A3CFE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714375</xdr:colOff>
      <xdr:row>14</xdr:row>
      <xdr:rowOff>119062</xdr:rowOff>
    </xdr:from>
    <xdr:to>
      <xdr:col>9</xdr:col>
      <xdr:colOff>142875</xdr:colOff>
      <xdr:row>28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0CEB1E8-F553-443D-BC75-57EB0FD56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A7" workbookViewId="0">
      <selection activeCell="K21" sqref="K21"/>
    </sheetView>
  </sheetViews>
  <sheetFormatPr defaultRowHeight="15" x14ac:dyDescent="0.25"/>
  <cols>
    <col min="3" max="3" width="19" customWidth="1"/>
    <col min="4" max="4" width="22.140625" customWidth="1"/>
    <col min="5" max="5" width="18.85546875" customWidth="1"/>
    <col min="6" max="6" width="25" customWidth="1"/>
    <col min="7" max="7" width="27.42578125" customWidth="1"/>
    <col min="8" max="8" width="10.140625" bestFit="1" customWidth="1"/>
    <col min="9" max="9" width="14.5703125" customWidth="1"/>
    <col min="10" max="10" width="18.28515625" customWidth="1"/>
  </cols>
  <sheetData>
    <row r="1" spans="1:10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8" t="s">
        <v>20</v>
      </c>
      <c r="I1" s="8" t="s">
        <v>21</v>
      </c>
      <c r="J1" s="8" t="s">
        <v>22</v>
      </c>
    </row>
    <row r="2" spans="1:10" x14ac:dyDescent="0.25">
      <c r="A2" s="2" t="s">
        <v>10</v>
      </c>
      <c r="B2" s="2" t="s">
        <v>7</v>
      </c>
      <c r="C2" s="6">
        <v>42075</v>
      </c>
      <c r="D2" s="2">
        <v>25</v>
      </c>
      <c r="E2" s="2">
        <v>1000</v>
      </c>
      <c r="F2" s="6">
        <v>46101</v>
      </c>
      <c r="G2" s="6">
        <v>46104</v>
      </c>
      <c r="H2" s="9">
        <f ca="1">(TODAY()-C2)/365</f>
        <v>11.027397260273972</v>
      </c>
      <c r="I2" s="2">
        <f>G2-F2</f>
        <v>3</v>
      </c>
      <c r="J2" s="2">
        <f ca="1">IF(H2&lt;5,E2*0.5,IF(H2&lt;8,E2*0.8,E2))</f>
        <v>1000</v>
      </c>
    </row>
    <row r="3" spans="1:10" x14ac:dyDescent="0.25">
      <c r="A3" s="1" t="s">
        <v>11</v>
      </c>
      <c r="B3" s="1" t="s">
        <v>7</v>
      </c>
      <c r="C3" s="7">
        <v>42679</v>
      </c>
      <c r="D3" s="1">
        <v>23</v>
      </c>
      <c r="E3" s="1">
        <v>900</v>
      </c>
      <c r="F3" s="7">
        <v>46085</v>
      </c>
      <c r="G3" s="7">
        <v>46090</v>
      </c>
      <c r="H3" s="9">
        <f t="shared" ref="H3:H11" ca="1" si="0">(TODAY()-C3)/365</f>
        <v>9.3726027397260268</v>
      </c>
      <c r="I3" s="2">
        <f t="shared" ref="I3:I11" si="1">G3-F3</f>
        <v>5</v>
      </c>
      <c r="J3" s="2">
        <f t="shared" ref="J3:J11" ca="1" si="2">IF(H3&lt;5,E3*0.5,IF(H3&lt;8,E3*0.8,E3))</f>
        <v>900</v>
      </c>
    </row>
    <row r="4" spans="1:10" x14ac:dyDescent="0.25">
      <c r="A4" s="1" t="s">
        <v>12</v>
      </c>
      <c r="B4" s="1" t="s">
        <v>7</v>
      </c>
      <c r="C4" s="7">
        <v>42971</v>
      </c>
      <c r="D4" s="1">
        <v>15</v>
      </c>
      <c r="E4" s="1">
        <v>800</v>
      </c>
      <c r="F4" s="7">
        <v>46110</v>
      </c>
      <c r="G4" s="7">
        <v>46112</v>
      </c>
      <c r="H4" s="9">
        <f t="shared" ca="1" si="0"/>
        <v>8.5726027397260278</v>
      </c>
      <c r="I4" s="2">
        <f t="shared" si="1"/>
        <v>2</v>
      </c>
      <c r="J4" s="2">
        <f ca="1">IF(H4&lt;5,E4*0.5,IF(H4&lt;8,E4*0.8,E4))</f>
        <v>800</v>
      </c>
    </row>
    <row r="5" spans="1:10" x14ac:dyDescent="0.25">
      <c r="A5" s="1" t="s">
        <v>13</v>
      </c>
      <c r="B5" s="1" t="s">
        <v>8</v>
      </c>
      <c r="C5" s="7">
        <v>43495</v>
      </c>
      <c r="D5" s="1">
        <v>19</v>
      </c>
      <c r="E5" s="1">
        <v>1200</v>
      </c>
      <c r="F5" s="7">
        <v>46123</v>
      </c>
      <c r="G5" s="7">
        <v>46126</v>
      </c>
      <c r="H5" s="9">
        <f t="shared" ca="1" si="0"/>
        <v>7.1369863013698627</v>
      </c>
      <c r="I5" s="2">
        <f t="shared" si="1"/>
        <v>3</v>
      </c>
      <c r="J5" s="2">
        <f t="shared" ca="1" si="2"/>
        <v>960</v>
      </c>
    </row>
    <row r="6" spans="1:10" x14ac:dyDescent="0.25">
      <c r="A6" s="1" t="s">
        <v>14</v>
      </c>
      <c r="B6" s="1" t="s">
        <v>8</v>
      </c>
      <c r="C6" s="7">
        <v>44026</v>
      </c>
      <c r="D6" s="1">
        <v>16</v>
      </c>
      <c r="E6" s="1">
        <v>780</v>
      </c>
      <c r="F6" s="7">
        <v>46135</v>
      </c>
      <c r="G6" s="7">
        <v>46140</v>
      </c>
      <c r="H6" s="9">
        <f t="shared" ca="1" si="0"/>
        <v>5.6821917808219178</v>
      </c>
      <c r="I6" s="2">
        <f t="shared" si="1"/>
        <v>5</v>
      </c>
      <c r="J6" s="2">
        <f t="shared" ca="1" si="2"/>
        <v>624</v>
      </c>
    </row>
    <row r="7" spans="1:10" x14ac:dyDescent="0.25">
      <c r="A7" s="1" t="s">
        <v>15</v>
      </c>
      <c r="B7" s="1" t="s">
        <v>8</v>
      </c>
      <c r="C7" s="7">
        <v>44235</v>
      </c>
      <c r="D7" s="1">
        <v>25</v>
      </c>
      <c r="E7" s="1">
        <v>890</v>
      </c>
      <c r="F7" s="7">
        <v>46119</v>
      </c>
      <c r="G7" s="7">
        <v>46122</v>
      </c>
      <c r="H7" s="9">
        <f t="shared" ca="1" si="0"/>
        <v>5.1095890410958908</v>
      </c>
      <c r="I7" s="2">
        <f t="shared" si="1"/>
        <v>3</v>
      </c>
      <c r="J7" s="2">
        <f t="shared" ca="1" si="2"/>
        <v>712</v>
      </c>
    </row>
    <row r="8" spans="1:10" x14ac:dyDescent="0.25">
      <c r="A8" s="1" t="s">
        <v>16</v>
      </c>
      <c r="B8" s="1" t="s">
        <v>9</v>
      </c>
      <c r="C8" s="7">
        <v>44734</v>
      </c>
      <c r="D8" s="1">
        <v>18</v>
      </c>
      <c r="E8" s="1">
        <v>1250</v>
      </c>
      <c r="F8" s="7">
        <v>46157</v>
      </c>
      <c r="G8" s="7">
        <v>46160</v>
      </c>
      <c r="H8" s="9">
        <f t="shared" ca="1" si="0"/>
        <v>3.7424657534246575</v>
      </c>
      <c r="I8" s="2">
        <f t="shared" si="1"/>
        <v>3</v>
      </c>
      <c r="J8" s="2">
        <f t="shared" ca="1" si="2"/>
        <v>625</v>
      </c>
    </row>
    <row r="9" spans="1:10" x14ac:dyDescent="0.25">
      <c r="A9" s="1" t="s">
        <v>17</v>
      </c>
      <c r="B9" s="1" t="s">
        <v>9</v>
      </c>
      <c r="C9" s="7">
        <v>45188</v>
      </c>
      <c r="D9" s="1">
        <v>25</v>
      </c>
      <c r="E9" s="1">
        <v>1000</v>
      </c>
      <c r="F9" s="7">
        <v>46144</v>
      </c>
      <c r="G9" s="7">
        <v>46148</v>
      </c>
      <c r="H9" s="9">
        <f t="shared" ca="1" si="0"/>
        <v>2.4986301369863013</v>
      </c>
      <c r="I9" s="2">
        <f t="shared" si="1"/>
        <v>4</v>
      </c>
      <c r="J9" s="2">
        <f t="shared" ca="1" si="2"/>
        <v>500</v>
      </c>
    </row>
    <row r="10" spans="1:10" x14ac:dyDescent="0.25">
      <c r="A10" s="1" t="s">
        <v>18</v>
      </c>
      <c r="B10" s="1" t="s">
        <v>9</v>
      </c>
      <c r="C10" s="7">
        <v>45415</v>
      </c>
      <c r="D10" s="1">
        <v>25</v>
      </c>
      <c r="E10" s="1">
        <v>750</v>
      </c>
      <c r="F10" s="7">
        <v>46170</v>
      </c>
      <c r="G10" s="7">
        <v>46172</v>
      </c>
      <c r="H10" s="9">
        <f t="shared" ca="1" si="0"/>
        <v>1.8767123287671232</v>
      </c>
      <c r="I10" s="2">
        <f t="shared" si="1"/>
        <v>2</v>
      </c>
      <c r="J10" s="2">
        <f t="shared" ca="1" si="2"/>
        <v>375</v>
      </c>
    </row>
    <row r="11" spans="1:10" x14ac:dyDescent="0.25">
      <c r="A11" s="1" t="s">
        <v>19</v>
      </c>
      <c r="B11" s="1" t="s">
        <v>9</v>
      </c>
      <c r="C11" s="7">
        <v>46002</v>
      </c>
      <c r="D11" s="1">
        <v>15</v>
      </c>
      <c r="E11" s="1">
        <v>800</v>
      </c>
      <c r="F11" s="7">
        <v>46161</v>
      </c>
      <c r="G11" s="7">
        <v>46166</v>
      </c>
      <c r="H11" s="9">
        <f t="shared" ca="1" si="0"/>
        <v>0.26849315068493151</v>
      </c>
      <c r="I11" s="2">
        <f t="shared" si="1"/>
        <v>5</v>
      </c>
      <c r="J11" s="2">
        <f t="shared" ca="1" si="2"/>
        <v>400</v>
      </c>
    </row>
    <row r="12" spans="1:10" ht="15.75" thickBot="1" x14ac:dyDescent="0.3"/>
    <row r="13" spans="1:10" x14ac:dyDescent="0.25">
      <c r="D13" s="10" t="s">
        <v>26</v>
      </c>
      <c r="E13" s="11">
        <f>MAX(E2:E11)</f>
        <v>1250</v>
      </c>
      <c r="G13" s="10" t="s">
        <v>24</v>
      </c>
      <c r="H13" s="14">
        <f ca="1">AVERAGE(H2:H11)</f>
        <v>5.5287671232876718</v>
      </c>
      <c r="I13" s="10" t="s">
        <v>23</v>
      </c>
      <c r="J13" s="11">
        <f ca="1">SUM(J2:J11)</f>
        <v>6896</v>
      </c>
    </row>
    <row r="14" spans="1:10" ht="15.75" thickBot="1" x14ac:dyDescent="0.3">
      <c r="D14" s="12" t="s">
        <v>27</v>
      </c>
      <c r="E14" s="13">
        <f>MIN(E2:E11)</f>
        <v>750</v>
      </c>
      <c r="G14" s="12" t="s">
        <v>25</v>
      </c>
      <c r="H14" s="13">
        <f ca="1">COUNTIF(H2:H11, "&gt;8")</f>
        <v>3</v>
      </c>
      <c r="I14" s="12"/>
      <c r="J14" s="13"/>
    </row>
    <row r="16" spans="1:10" ht="15.75" thickBot="1" x14ac:dyDescent="0.3"/>
    <row r="17" spans="3:5" x14ac:dyDescent="0.25">
      <c r="C17" s="10" t="s">
        <v>1</v>
      </c>
      <c r="D17" s="15" t="s">
        <v>28</v>
      </c>
      <c r="E17" s="11" t="s">
        <v>21</v>
      </c>
    </row>
    <row r="18" spans="3:5" x14ac:dyDescent="0.25">
      <c r="C18" s="16" t="s">
        <v>7</v>
      </c>
      <c r="D18" s="17">
        <f ca="1">SUM(J2,J3,J4)</f>
        <v>2700</v>
      </c>
      <c r="E18" s="18">
        <f>SUM(I2:I4)</f>
        <v>10</v>
      </c>
    </row>
    <row r="19" spans="3:5" x14ac:dyDescent="0.25">
      <c r="C19" s="16" t="s">
        <v>8</v>
      </c>
      <c r="D19" s="17">
        <f ca="1">SUM(J5:J7)</f>
        <v>2296</v>
      </c>
      <c r="E19" s="18">
        <f>SUM(I5:I7)</f>
        <v>11</v>
      </c>
    </row>
    <row r="20" spans="3:5" ht="15.75" thickBot="1" x14ac:dyDescent="0.3">
      <c r="C20" s="12" t="s">
        <v>9</v>
      </c>
      <c r="D20" s="19">
        <f ca="1">SUM(J8:J11)</f>
        <v>1900</v>
      </c>
      <c r="E20" s="13">
        <f>SUM(I8:I11)</f>
        <v>14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2026-03-19T07:05:56Z</dcterms:modified>
</cp:coreProperties>
</file>