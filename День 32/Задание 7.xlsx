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5384BB6E-7C62-40C7-9F12-DCED68A6CE59}" xr6:coauthVersionLast="47" xr6:coauthVersionMax="47" xr10:uidLastSave="{00000000-0000-0000-0000-000000000000}"/>
  <bookViews>
    <workbookView xWindow="13395" yWindow="360" windowWidth="15360" windowHeight="1143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1" i="1"/>
  <c r="D18" i="1"/>
  <c r="D17" i="1"/>
  <c r="D16" i="1"/>
  <c r="G19" i="1"/>
  <c r="G18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2" i="1"/>
  <c r="H2" i="1" s="1"/>
  <c r="G17" i="1" l="1"/>
  <c r="G16" i="1"/>
  <c r="G15" i="1"/>
</calcChain>
</file>

<file path=xl/sharedStrings.xml><?xml version="1.0" encoding="utf-8"?>
<sst xmlns="http://schemas.openxmlformats.org/spreadsheetml/2006/main" count="60" uniqueCount="27">
  <si>
    <t>ФИО</t>
  </si>
  <si>
    <t>Месяц</t>
  </si>
  <si>
    <t>Дата Поступления</t>
  </si>
  <si>
    <t>Должность</t>
  </si>
  <si>
    <t>Средний заработок</t>
  </si>
  <si>
    <t>Кол-во больничных</t>
  </si>
  <si>
    <t>Март</t>
  </si>
  <si>
    <t>Апрель</t>
  </si>
  <si>
    <t>Май</t>
  </si>
  <si>
    <t>КИО</t>
  </si>
  <si>
    <t>КДИ</t>
  </si>
  <si>
    <t>РВИ</t>
  </si>
  <si>
    <t>БНЛ</t>
  </si>
  <si>
    <t>Программист</t>
  </si>
  <si>
    <t>Слесарь</t>
  </si>
  <si>
    <t>Механик</t>
  </si>
  <si>
    <t>Бухгалтер</t>
  </si>
  <si>
    <t>К оплате по б/л</t>
  </si>
  <si>
    <t>Cредний стаж</t>
  </si>
  <si>
    <t>Стаж, лет</t>
  </si>
  <si>
    <t>Стаж меньше 8</t>
  </si>
  <si>
    <t>Общая сумма оплаты б/л</t>
  </si>
  <si>
    <t xml:space="preserve">Макс. Больничных дней </t>
  </si>
  <si>
    <t xml:space="preserve">Минимум больничных </t>
  </si>
  <si>
    <t xml:space="preserve">Месяц </t>
  </si>
  <si>
    <t xml:space="preserve">Больничных </t>
  </si>
  <si>
    <t>Больничных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</si>
</sst>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14" fontId="0" fillId="0" borderId="3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Fill="1" applyBorder="1"/>
    <xf numFmtId="2" fontId="0" fillId="0" borderId="10" xfId="0" applyNumberFormat="1" applyBorder="1"/>
    <xf numFmtId="0" fontId="0" fillId="0" borderId="1" xfId="0" applyBorder="1"/>
    <xf numFmtId="2" fontId="0" fillId="0" borderId="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Лист1!$D$20</c:f>
              <c:strCache>
                <c:ptCount val="1"/>
                <c:pt idx="0">
                  <c:v>Больничных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Лист1!$C$21:$C$24</c:f>
              <c:strCache>
                <c:ptCount val="4"/>
                <c:pt idx="0">
                  <c:v>Программист</c:v>
                </c:pt>
                <c:pt idx="1">
                  <c:v>Слесарь</c:v>
                </c:pt>
                <c:pt idx="2">
                  <c:v>Механик</c:v>
                </c:pt>
                <c:pt idx="3">
                  <c:v>Бухгалтер</c:v>
                </c:pt>
              </c:strCache>
            </c:strRef>
          </c:cat>
          <c:val>
            <c:numRef>
              <c:f>Лист1!$D$21:$D$24</c:f>
              <c:numCache>
                <c:formatCode>General</c:formatCode>
                <c:ptCount val="4"/>
                <c:pt idx="0">
                  <c:v>21</c:v>
                </c:pt>
                <c:pt idx="1">
                  <c:v>32</c:v>
                </c:pt>
                <c:pt idx="2">
                  <c:v>19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E-4061-8BB4-E19F1E1A6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19</xdr:row>
      <xdr:rowOff>23812</xdr:rowOff>
    </xdr:from>
    <xdr:to>
      <xdr:col>8</xdr:col>
      <xdr:colOff>133350</xdr:colOff>
      <xdr:row>33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D0BDE8-203F-4C50-BDF4-9E09A8510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3" workbookViewId="0">
      <selection activeCell="H40" sqref="H40"/>
    </sheetView>
  </sheetViews>
  <sheetFormatPr defaultRowHeight="15" x14ac:dyDescent="0.25"/>
  <cols>
    <col min="3" max="3" width="18.42578125" customWidth="1"/>
    <col min="4" max="4" width="13.42578125" customWidth="1"/>
    <col min="5" max="5" width="19.85546875" customWidth="1"/>
    <col min="6" max="6" width="24.140625" customWidth="1"/>
    <col min="7" max="7" width="10.140625" bestFit="1" customWidth="1"/>
    <col min="8" max="8" width="15.42578125" customWidth="1"/>
  </cols>
  <sheetData>
    <row r="1" spans="1:8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12" t="s">
        <v>19</v>
      </c>
      <c r="H1" s="12" t="s">
        <v>17</v>
      </c>
    </row>
    <row r="2" spans="1:8" x14ac:dyDescent="0.25">
      <c r="A2" t="s">
        <v>9</v>
      </c>
      <c r="B2" s="6" t="s">
        <v>6</v>
      </c>
      <c r="C2" s="7">
        <v>39884</v>
      </c>
      <c r="D2" s="6" t="s">
        <v>13</v>
      </c>
      <c r="E2" s="6">
        <v>1000</v>
      </c>
      <c r="F2" s="6">
        <v>12</v>
      </c>
      <c r="G2" s="13">
        <f ca="1">(TODAY()-C2)/365</f>
        <v>17.030136986301368</v>
      </c>
      <c r="H2" s="11">
        <f ca="1">IF(G2&lt;5,E2*0.5,IF(G2&lt;8,E2*0.8,E2))</f>
        <v>1000</v>
      </c>
    </row>
    <row r="3" spans="1:8" x14ac:dyDescent="0.25">
      <c r="A3" s="2" t="s">
        <v>10</v>
      </c>
      <c r="B3" s="2" t="s">
        <v>6</v>
      </c>
      <c r="C3" s="8">
        <v>45702</v>
      </c>
      <c r="D3" s="2" t="s">
        <v>14</v>
      </c>
      <c r="E3" s="2">
        <v>750</v>
      </c>
      <c r="F3" s="10">
        <v>15</v>
      </c>
      <c r="G3" s="13">
        <f t="shared" ref="G3:G13" ca="1" si="0">(TODAY()-C3)/365</f>
        <v>1.0904109589041096</v>
      </c>
      <c r="H3" s="2">
        <f t="shared" ref="H3:H13" ca="1" si="1">IF(G3&lt;5,E3*0.5,IF(G3&lt;8,E3*0.8,E3))</f>
        <v>375</v>
      </c>
    </row>
    <row r="4" spans="1:8" x14ac:dyDescent="0.25">
      <c r="A4" s="2" t="s">
        <v>11</v>
      </c>
      <c r="B4" s="2" t="s">
        <v>6</v>
      </c>
      <c r="C4" s="8">
        <v>43084</v>
      </c>
      <c r="D4" s="2" t="s">
        <v>15</v>
      </c>
      <c r="E4" s="2">
        <v>800</v>
      </c>
      <c r="F4" s="10">
        <v>7</v>
      </c>
      <c r="G4" s="13">
        <f t="shared" ca="1" si="0"/>
        <v>8.2630136986301377</v>
      </c>
      <c r="H4" s="2">
        <f t="shared" ca="1" si="1"/>
        <v>800</v>
      </c>
    </row>
    <row r="5" spans="1:8" ht="15.75" thickBot="1" x14ac:dyDescent="0.3">
      <c r="A5" s="2" t="s">
        <v>12</v>
      </c>
      <c r="B5" s="2" t="s">
        <v>6</v>
      </c>
      <c r="C5" s="8">
        <v>44146</v>
      </c>
      <c r="D5" s="2" t="s">
        <v>16</v>
      </c>
      <c r="E5" s="2">
        <v>900</v>
      </c>
      <c r="F5" s="10">
        <v>8</v>
      </c>
      <c r="G5" s="13">
        <f t="shared" ca="1" si="0"/>
        <v>5.353424657534247</v>
      </c>
      <c r="H5" s="2">
        <f t="shared" ca="1" si="1"/>
        <v>720</v>
      </c>
    </row>
    <row r="6" spans="1:8" x14ac:dyDescent="0.25">
      <c r="A6" s="2" t="s">
        <v>9</v>
      </c>
      <c r="B6" s="2" t="s">
        <v>7</v>
      </c>
      <c r="C6" s="7">
        <v>39884</v>
      </c>
      <c r="D6" s="6" t="s">
        <v>13</v>
      </c>
      <c r="E6" s="6">
        <v>1000</v>
      </c>
      <c r="F6" s="10">
        <v>5</v>
      </c>
      <c r="G6" s="13">
        <f t="shared" ca="1" si="0"/>
        <v>17.030136986301368</v>
      </c>
      <c r="H6" s="2">
        <f t="shared" ca="1" si="1"/>
        <v>1000</v>
      </c>
    </row>
    <row r="7" spans="1:8" x14ac:dyDescent="0.25">
      <c r="A7" s="2" t="s">
        <v>10</v>
      </c>
      <c r="B7" s="2" t="s">
        <v>7</v>
      </c>
      <c r="C7" s="8">
        <v>45702</v>
      </c>
      <c r="D7" s="2" t="s">
        <v>14</v>
      </c>
      <c r="E7" s="2">
        <v>750</v>
      </c>
      <c r="F7" s="10">
        <v>8</v>
      </c>
      <c r="G7" s="13">
        <f t="shared" ca="1" si="0"/>
        <v>1.0904109589041096</v>
      </c>
      <c r="H7" s="2">
        <f t="shared" ca="1" si="1"/>
        <v>375</v>
      </c>
    </row>
    <row r="8" spans="1:8" x14ac:dyDescent="0.25">
      <c r="A8" s="2" t="s">
        <v>11</v>
      </c>
      <c r="B8" s="2" t="s">
        <v>7</v>
      </c>
      <c r="C8" s="8">
        <v>43084</v>
      </c>
      <c r="D8" s="2" t="s">
        <v>15</v>
      </c>
      <c r="E8" s="2">
        <v>800</v>
      </c>
      <c r="F8" s="10">
        <v>9</v>
      </c>
      <c r="G8" s="13">
        <f t="shared" ca="1" si="0"/>
        <v>8.2630136986301377</v>
      </c>
      <c r="H8" s="2">
        <f t="shared" ca="1" si="1"/>
        <v>800</v>
      </c>
    </row>
    <row r="9" spans="1:8" ht="15.75" thickBot="1" x14ac:dyDescent="0.3">
      <c r="A9" s="2" t="s">
        <v>12</v>
      </c>
      <c r="B9" s="2" t="s">
        <v>7</v>
      </c>
      <c r="C9" s="8">
        <v>44146</v>
      </c>
      <c r="D9" s="2" t="s">
        <v>16</v>
      </c>
      <c r="E9" s="2">
        <v>900</v>
      </c>
      <c r="F9" s="10">
        <v>19</v>
      </c>
      <c r="G9" s="13">
        <f t="shared" ca="1" si="0"/>
        <v>5.353424657534247</v>
      </c>
      <c r="H9" s="2">
        <f t="shared" ca="1" si="1"/>
        <v>720</v>
      </c>
    </row>
    <row r="10" spans="1:8" x14ac:dyDescent="0.25">
      <c r="A10" s="2" t="s">
        <v>9</v>
      </c>
      <c r="B10" s="2" t="s">
        <v>8</v>
      </c>
      <c r="C10" s="7">
        <v>39884</v>
      </c>
      <c r="D10" s="6" t="s">
        <v>13</v>
      </c>
      <c r="E10" s="6">
        <v>1000</v>
      </c>
      <c r="F10" s="10">
        <v>4</v>
      </c>
      <c r="G10" s="13">
        <f t="shared" ca="1" si="0"/>
        <v>17.030136986301368</v>
      </c>
      <c r="H10" s="2">
        <f t="shared" ca="1" si="1"/>
        <v>1000</v>
      </c>
    </row>
    <row r="11" spans="1:8" x14ac:dyDescent="0.25">
      <c r="A11" s="2" t="s">
        <v>10</v>
      </c>
      <c r="B11" s="2" t="s">
        <v>8</v>
      </c>
      <c r="C11" s="8">
        <v>45702</v>
      </c>
      <c r="D11" s="2" t="s">
        <v>14</v>
      </c>
      <c r="E11" s="2">
        <v>750</v>
      </c>
      <c r="F11" s="10">
        <v>9</v>
      </c>
      <c r="G11" s="13">
        <f t="shared" ca="1" si="0"/>
        <v>1.0904109589041096</v>
      </c>
      <c r="H11" s="2">
        <f t="shared" ca="1" si="1"/>
        <v>375</v>
      </c>
    </row>
    <row r="12" spans="1:8" x14ac:dyDescent="0.25">
      <c r="A12" s="2" t="s">
        <v>11</v>
      </c>
      <c r="B12" s="2" t="s">
        <v>8</v>
      </c>
      <c r="C12" s="8">
        <v>43084</v>
      </c>
      <c r="D12" s="2" t="s">
        <v>15</v>
      </c>
      <c r="E12" s="2">
        <v>800</v>
      </c>
      <c r="F12" s="10">
        <v>3</v>
      </c>
      <c r="G12" s="13">
        <f t="shared" ca="1" si="0"/>
        <v>8.2630136986301377</v>
      </c>
      <c r="H12" s="2">
        <f t="shared" ca="1" si="1"/>
        <v>800</v>
      </c>
    </row>
    <row r="13" spans="1:8" x14ac:dyDescent="0.25">
      <c r="A13" s="2" t="s">
        <v>12</v>
      </c>
      <c r="B13" s="2" t="s">
        <v>8</v>
      </c>
      <c r="C13" s="8">
        <v>44146</v>
      </c>
      <c r="D13" s="2" t="s">
        <v>16</v>
      </c>
      <c r="E13" s="2">
        <v>900</v>
      </c>
      <c r="F13" s="10">
        <v>11</v>
      </c>
      <c r="G13" s="13">
        <f t="shared" ca="1" si="0"/>
        <v>5.353424657534247</v>
      </c>
      <c r="H13" s="2">
        <f t="shared" ca="1" si="1"/>
        <v>720</v>
      </c>
    </row>
    <row r="14" spans="1:8" ht="15.75" thickBot="1" x14ac:dyDescent="0.3"/>
    <row r="15" spans="1:8" ht="15.75" thickBot="1" x14ac:dyDescent="0.3">
      <c r="C15" s="14" t="s">
        <v>24</v>
      </c>
      <c r="D15" s="1" t="s">
        <v>25</v>
      </c>
      <c r="F15" s="14" t="s">
        <v>18</v>
      </c>
      <c r="G15" s="15">
        <f ca="1">AVERAGE(G2:G13)</f>
        <v>7.934246575342466</v>
      </c>
    </row>
    <row r="16" spans="1:8" ht="15.75" thickBot="1" x14ac:dyDescent="0.3">
      <c r="C16" s="22" t="s">
        <v>6</v>
      </c>
      <c r="D16" s="23">
        <f>AVERAGEA(F2:F5)</f>
        <v>10.5</v>
      </c>
      <c r="F16" s="14" t="s">
        <v>20</v>
      </c>
      <c r="G16" s="14">
        <f ca="1">COUNTIF(G2:G13, "&lt;8")</f>
        <v>6</v>
      </c>
    </row>
    <row r="17" spans="3:7" ht="15.75" thickBot="1" x14ac:dyDescent="0.3">
      <c r="C17" s="20" t="s">
        <v>7</v>
      </c>
      <c r="D17" s="23">
        <f>AVERAGEA(F6:F9)</f>
        <v>10.25</v>
      </c>
      <c r="F17" s="14" t="s">
        <v>21</v>
      </c>
      <c r="G17" s="1">
        <f ca="1">SUM(H2:H13)</f>
        <v>8685</v>
      </c>
    </row>
    <row r="18" spans="3:7" ht="15.75" thickBot="1" x14ac:dyDescent="0.3">
      <c r="C18" s="21" t="s">
        <v>8</v>
      </c>
      <c r="D18" s="16">
        <f>AVERAGEA(F10:F13)</f>
        <v>6.75</v>
      </c>
      <c r="F18" s="12" t="s">
        <v>22</v>
      </c>
      <c r="G18" s="1">
        <f>MAX(F2:F13)</f>
        <v>19</v>
      </c>
    </row>
    <row r="19" spans="3:7" ht="15.75" thickBot="1" x14ac:dyDescent="0.3">
      <c r="F19" s="12" t="s">
        <v>23</v>
      </c>
      <c r="G19" s="1">
        <f>MIN(F2:F13)</f>
        <v>3</v>
      </c>
    </row>
    <row r="20" spans="3:7" ht="15.75" thickBot="1" x14ac:dyDescent="0.3">
      <c r="C20" s="3" t="s">
        <v>3</v>
      </c>
      <c r="D20" s="5" t="s">
        <v>26</v>
      </c>
    </row>
    <row r="21" spans="3:7" ht="15.75" thickBot="1" x14ac:dyDescent="0.3">
      <c r="C21" s="24" t="s">
        <v>13</v>
      </c>
      <c r="D21" s="17">
        <f>SUM(F2,F6,F10)</f>
        <v>21</v>
      </c>
    </row>
    <row r="22" spans="3:7" ht="15.75" thickBot="1" x14ac:dyDescent="0.3">
      <c r="C22" s="18" t="s">
        <v>14</v>
      </c>
      <c r="D22" s="17">
        <f t="shared" ref="D22:D24" si="2">SUM(F3,F7,F11)</f>
        <v>32</v>
      </c>
    </row>
    <row r="23" spans="3:7" ht="15.75" thickBot="1" x14ac:dyDescent="0.3">
      <c r="C23" s="18" t="s">
        <v>15</v>
      </c>
      <c r="D23" s="17">
        <f t="shared" si="2"/>
        <v>19</v>
      </c>
    </row>
    <row r="24" spans="3:7" ht="15.75" thickBot="1" x14ac:dyDescent="0.3">
      <c r="C24" s="19" t="s">
        <v>16</v>
      </c>
      <c r="D24" s="17">
        <f t="shared" si="2"/>
        <v>38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2026-03-19T06:26:05Z</dcterms:modified>
</cp:coreProperties>
</file>