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2\"/>
    </mc:Choice>
  </mc:AlternateContent>
  <xr:revisionPtr revIDLastSave="0" documentId="13_ncr:1_{07559163-EE01-4068-8F22-6C28885CF20A}" xr6:coauthVersionLast="47" xr6:coauthVersionMax="47" xr10:uidLastSave="{00000000-0000-0000-0000-000000000000}"/>
  <bookViews>
    <workbookView xWindow="12240" yWindow="1815" windowWidth="21600" windowHeight="113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C17" i="1"/>
  <c r="C16" i="1"/>
  <c r="C15" i="1"/>
  <c r="G2" i="1"/>
  <c r="I2" i="1" s="1"/>
  <c r="G3" i="1"/>
  <c r="G4" i="1"/>
  <c r="G5" i="1"/>
  <c r="G6" i="1"/>
  <c r="G7" i="1"/>
  <c r="G8" i="1"/>
  <c r="G10" i="1"/>
  <c r="G11" i="1"/>
  <c r="G9" i="1"/>
  <c r="I9" i="1" s="1"/>
  <c r="F11" i="1"/>
  <c r="F10" i="1"/>
  <c r="F9" i="1"/>
  <c r="F8" i="1"/>
  <c r="I8" i="1" s="1"/>
  <c r="F7" i="1"/>
  <c r="F6" i="1"/>
  <c r="I6" i="1" s="1"/>
  <c r="F5" i="1"/>
  <c r="I5" i="1"/>
  <c r="F4" i="1"/>
  <c r="I4" i="1" s="1"/>
  <c r="F3" i="1"/>
  <c r="F2" i="1"/>
  <c r="I7" i="1"/>
  <c r="E3" i="1"/>
  <c r="E4" i="1"/>
  <c r="E5" i="1"/>
  <c r="E6" i="1"/>
  <c r="E7" i="1"/>
  <c r="E8" i="1"/>
  <c r="E9" i="1"/>
  <c r="E10" i="1"/>
  <c r="E11" i="1"/>
  <c r="E2" i="1"/>
  <c r="I3" i="1" l="1"/>
  <c r="I11" i="1"/>
  <c r="I10" i="1"/>
</calcChain>
</file>

<file path=xl/sharedStrings.xml><?xml version="1.0" encoding="utf-8"?>
<sst xmlns="http://schemas.openxmlformats.org/spreadsheetml/2006/main" count="26" uniqueCount="15">
  <si>
    <t xml:space="preserve">наименование </t>
  </si>
  <si>
    <t>стоимость проката на сутки</t>
  </si>
  <si>
    <t>дата выдачи</t>
  </si>
  <si>
    <t>дата сдачи</t>
  </si>
  <si>
    <t>№ п/п</t>
  </si>
  <si>
    <t>Лошица</t>
  </si>
  <si>
    <t>Чижовка</t>
  </si>
  <si>
    <t>Серебрянка</t>
  </si>
  <si>
    <t>Просроченно дней</t>
  </si>
  <si>
    <t>пеня</t>
  </si>
  <si>
    <t>дней в прокате</t>
  </si>
  <si>
    <t>К оплате</t>
  </si>
  <si>
    <t xml:space="preserve">Наименование </t>
  </si>
  <si>
    <t>макс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</si>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</sst>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Лист1!$C$14</c:f>
              <c:strCache>
                <c:ptCount val="1"/>
                <c:pt idx="0">
                  <c:v>К оплате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Лист1!$B$15:$B$17</c:f>
              <c:strCache>
                <c:ptCount val="3"/>
                <c:pt idx="0">
                  <c:v>Лошица</c:v>
                </c:pt>
                <c:pt idx="1">
                  <c:v>Чижовка</c:v>
                </c:pt>
                <c:pt idx="2">
                  <c:v>Серебрянка</c:v>
                </c:pt>
              </c:strCache>
            </c:strRef>
          </c:cat>
          <c:val>
            <c:numRef>
              <c:f>Лист1!$C$15:$C$17</c:f>
              <c:numCache>
                <c:formatCode>General</c:formatCode>
                <c:ptCount val="3"/>
                <c:pt idx="0">
                  <c:v>2705.3335000000002</c:v>
                </c:pt>
                <c:pt idx="1">
                  <c:v>1504.2514999999999</c:v>
                </c:pt>
                <c:pt idx="2">
                  <c:v>2382.375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6-4981-B81B-5B9998BAA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17</xdr:row>
      <xdr:rowOff>114300</xdr:rowOff>
    </xdr:from>
    <xdr:to>
      <xdr:col>4</xdr:col>
      <xdr:colOff>57150</xdr:colOff>
      <xdr:row>30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FDDF906-1D79-4A28-9E7A-0B19DB36E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F19" sqref="F19"/>
    </sheetView>
  </sheetViews>
  <sheetFormatPr defaultRowHeight="15" x14ac:dyDescent="0.25"/>
  <cols>
    <col min="1" max="1" width="7.5703125" customWidth="1"/>
    <col min="2" max="2" width="17.42578125" customWidth="1"/>
    <col min="3" max="3" width="27.7109375" customWidth="1"/>
    <col min="4" max="4" width="14.140625" customWidth="1"/>
    <col min="5" max="5" width="11.42578125" customWidth="1"/>
    <col min="6" max="6" width="18.42578125" customWidth="1"/>
    <col min="8" max="8" width="18.28515625" customWidth="1"/>
  </cols>
  <sheetData>
    <row r="1" spans="1:9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8</v>
      </c>
      <c r="G1" s="3" t="s">
        <v>9</v>
      </c>
      <c r="H1" s="3" t="s">
        <v>10</v>
      </c>
      <c r="I1" s="3" t="s">
        <v>11</v>
      </c>
    </row>
    <row r="2" spans="1:9" x14ac:dyDescent="0.25">
      <c r="A2" s="1">
        <v>1</v>
      </c>
      <c r="B2" s="1" t="s">
        <v>5</v>
      </c>
      <c r="C2" s="1">
        <v>100</v>
      </c>
      <c r="D2" s="2">
        <v>46055</v>
      </c>
      <c r="E2" s="2">
        <f>D2+1</f>
        <v>46056</v>
      </c>
      <c r="F2" s="1">
        <f>E11-E2-H2</f>
        <v>29</v>
      </c>
      <c r="G2" s="1">
        <f t="shared" ref="G2:G8" si="0">IF(F2&gt;0,IF(F2&lt;5, F2*0.0005*F2, IF(F2&lt;10, F2*0.0005*5+F2*0.001*F2,F2*0.0005*5+F2*0.001*10+F2*0.003*F2)),0)</f>
        <v>2.8855000000000004</v>
      </c>
      <c r="H2" s="1">
        <v>10</v>
      </c>
      <c r="I2" s="1">
        <f>H2*C2 + G2</f>
        <v>1002.8855</v>
      </c>
    </row>
    <row r="3" spans="1:9" x14ac:dyDescent="0.25">
      <c r="A3" s="1">
        <v>2</v>
      </c>
      <c r="B3" s="1" t="s">
        <v>6</v>
      </c>
      <c r="C3" s="1">
        <v>75</v>
      </c>
      <c r="D3" s="2">
        <v>46057</v>
      </c>
      <c r="E3" s="2">
        <f>D3+1</f>
        <v>46058</v>
      </c>
      <c r="F3" s="1">
        <f>E11-E3-H3</f>
        <v>27</v>
      </c>
      <c r="G3" s="1">
        <f t="shared" si="0"/>
        <v>2.5245000000000002</v>
      </c>
      <c r="H3" s="1">
        <v>10</v>
      </c>
      <c r="I3" s="1">
        <f t="shared" ref="I3:I11" si="1">H3*C3 + G3</f>
        <v>752.52449999999999</v>
      </c>
    </row>
    <row r="4" spans="1:9" x14ac:dyDescent="0.25">
      <c r="A4" s="1">
        <v>3</v>
      </c>
      <c r="B4" s="1" t="s">
        <v>7</v>
      </c>
      <c r="C4" s="1">
        <v>85</v>
      </c>
      <c r="D4" s="2">
        <v>46061</v>
      </c>
      <c r="E4" s="2">
        <f t="shared" ref="E3:E11" si="2">D4+1</f>
        <v>46062</v>
      </c>
      <c r="F4" s="1">
        <f>E11-E4-H4</f>
        <v>23</v>
      </c>
      <c r="G4" s="1">
        <f t="shared" si="0"/>
        <v>1.8745000000000003</v>
      </c>
      <c r="H4" s="1">
        <v>10</v>
      </c>
      <c r="I4" s="1">
        <f t="shared" si="1"/>
        <v>851.87450000000001</v>
      </c>
    </row>
    <row r="5" spans="1:9" x14ac:dyDescent="0.25">
      <c r="A5" s="1">
        <v>4</v>
      </c>
      <c r="B5" s="1" t="s">
        <v>5</v>
      </c>
      <c r="C5" s="1">
        <v>100</v>
      </c>
      <c r="D5" s="2">
        <v>46063</v>
      </c>
      <c r="E5" s="2">
        <f t="shared" si="2"/>
        <v>46064</v>
      </c>
      <c r="F5" s="1">
        <f>E11-E5-H5</f>
        <v>21</v>
      </c>
      <c r="G5" s="1">
        <f t="shared" si="0"/>
        <v>1.5854999999999999</v>
      </c>
      <c r="H5" s="1">
        <v>10</v>
      </c>
      <c r="I5" s="1">
        <f t="shared" si="1"/>
        <v>1001.5855</v>
      </c>
    </row>
    <row r="6" spans="1:9" x14ac:dyDescent="0.25">
      <c r="A6" s="1">
        <v>5</v>
      </c>
      <c r="B6" s="1" t="s">
        <v>6</v>
      </c>
      <c r="C6" s="1">
        <v>75</v>
      </c>
      <c r="D6" s="2">
        <v>46065</v>
      </c>
      <c r="E6" s="2">
        <f t="shared" si="2"/>
        <v>46066</v>
      </c>
      <c r="F6" s="1">
        <f>E11-E6-H6</f>
        <v>22</v>
      </c>
      <c r="G6" s="1">
        <f t="shared" si="0"/>
        <v>1.7269999999999999</v>
      </c>
      <c r="H6" s="1">
        <v>7</v>
      </c>
      <c r="I6" s="1">
        <f t="shared" si="1"/>
        <v>526.72699999999998</v>
      </c>
    </row>
    <row r="7" spans="1:9" x14ac:dyDescent="0.25">
      <c r="A7" s="1">
        <v>6</v>
      </c>
      <c r="B7" s="1" t="s">
        <v>7</v>
      </c>
      <c r="C7" s="1">
        <v>85</v>
      </c>
      <c r="D7" s="2">
        <v>46075</v>
      </c>
      <c r="E7" s="2">
        <f t="shared" si="2"/>
        <v>46076</v>
      </c>
      <c r="F7" s="1">
        <f>E11-E7-H7</f>
        <v>11</v>
      </c>
      <c r="G7" s="1">
        <f t="shared" si="0"/>
        <v>0.50049999999999994</v>
      </c>
      <c r="H7" s="1">
        <v>8</v>
      </c>
      <c r="I7" s="1">
        <f t="shared" si="1"/>
        <v>680.50049999999999</v>
      </c>
    </row>
    <row r="8" spans="1:9" x14ac:dyDescent="0.25">
      <c r="A8" s="1">
        <v>7</v>
      </c>
      <c r="B8" s="1" t="s">
        <v>5</v>
      </c>
      <c r="C8" s="1">
        <v>100</v>
      </c>
      <c r="D8" s="2">
        <v>46075</v>
      </c>
      <c r="E8" s="2">
        <f t="shared" si="2"/>
        <v>46076</v>
      </c>
      <c r="F8" s="1">
        <f>E11-E8-H8</f>
        <v>15</v>
      </c>
      <c r="G8" s="1">
        <f t="shared" si="0"/>
        <v>0.86249999999999993</v>
      </c>
      <c r="H8" s="1">
        <v>4</v>
      </c>
      <c r="I8" s="1">
        <f t="shared" si="1"/>
        <v>400.86250000000001</v>
      </c>
    </row>
    <row r="9" spans="1:9" x14ac:dyDescent="0.25">
      <c r="A9" s="1">
        <v>8</v>
      </c>
      <c r="B9" s="1" t="s">
        <v>6</v>
      </c>
      <c r="C9" s="1">
        <v>75</v>
      </c>
      <c r="D9" s="2">
        <v>46086</v>
      </c>
      <c r="E9" s="2">
        <f t="shared" si="2"/>
        <v>46087</v>
      </c>
      <c r="F9" s="1">
        <f>E11-E9-H2</f>
        <v>-2</v>
      </c>
      <c r="G9" s="1">
        <f>IF(F9&gt;0,IF(F9&lt;5, F9*0.0005*F9, IF(F9&lt;10, F9*0.0005*5+F9*0.001*F9,F9*0.0005*5+F9*0.001*10+F9*0.003*F9)),0)</f>
        <v>0</v>
      </c>
      <c r="H9" s="1">
        <v>3</v>
      </c>
      <c r="I9" s="1">
        <f t="shared" si="1"/>
        <v>225</v>
      </c>
    </row>
    <row r="10" spans="1:9" x14ac:dyDescent="0.25">
      <c r="A10" s="1">
        <v>9</v>
      </c>
      <c r="B10" s="1" t="s">
        <v>7</v>
      </c>
      <c r="C10" s="1">
        <v>85</v>
      </c>
      <c r="D10" s="2">
        <v>46094</v>
      </c>
      <c r="E10" s="2">
        <f t="shared" si="2"/>
        <v>46095</v>
      </c>
      <c r="F10" s="1">
        <f>E11-E10-H10</f>
        <v>-10</v>
      </c>
      <c r="G10" s="1">
        <f t="shared" ref="G10:G11" si="3">IF(F10&gt;0,IF(F10&lt;5, F10*0.0005*F10, IF(F10&lt;10, F10*0.0005*5+F10*0.001*F10,F10*0.0005*5+F10*0.001*10+F10*0.003*F10)),0)</f>
        <v>0</v>
      </c>
      <c r="H10" s="1">
        <v>10</v>
      </c>
      <c r="I10" s="1">
        <f t="shared" si="1"/>
        <v>850</v>
      </c>
    </row>
    <row r="11" spans="1:9" x14ac:dyDescent="0.25">
      <c r="A11" s="1">
        <v>10</v>
      </c>
      <c r="B11" s="1" t="s">
        <v>5</v>
      </c>
      <c r="C11" s="1">
        <v>100</v>
      </c>
      <c r="D11" s="2">
        <v>46094</v>
      </c>
      <c r="E11" s="2">
        <f t="shared" si="2"/>
        <v>46095</v>
      </c>
      <c r="F11" s="1">
        <f>E11-E11-H11</f>
        <v>-3</v>
      </c>
      <c r="G11" s="1">
        <f t="shared" si="3"/>
        <v>0</v>
      </c>
      <c r="H11" s="1">
        <v>3</v>
      </c>
      <c r="I11" s="1">
        <f t="shared" si="1"/>
        <v>300</v>
      </c>
    </row>
    <row r="12" spans="1:9" x14ac:dyDescent="0.25">
      <c r="G12" s="1" t="s">
        <v>13</v>
      </c>
      <c r="H12" s="1">
        <f>MAX(H2:H11)</f>
        <v>10</v>
      </c>
    </row>
    <row r="13" spans="1:9" x14ac:dyDescent="0.25">
      <c r="G13" s="1" t="s">
        <v>14</v>
      </c>
      <c r="H13" s="1">
        <f>MIN(H2:H11)</f>
        <v>3</v>
      </c>
    </row>
    <row r="14" spans="1:9" x14ac:dyDescent="0.25">
      <c r="B14" s="1" t="s">
        <v>12</v>
      </c>
      <c r="C14" s="1" t="s">
        <v>11</v>
      </c>
    </row>
    <row r="15" spans="1:9" x14ac:dyDescent="0.25">
      <c r="B15" s="1" t="s">
        <v>5</v>
      </c>
      <c r="C15" s="1">
        <f>SUM(I2,I5,I8,I11)</f>
        <v>2705.3335000000002</v>
      </c>
    </row>
    <row r="16" spans="1:9" x14ac:dyDescent="0.25">
      <c r="B16" s="1" t="s">
        <v>6</v>
      </c>
      <c r="C16" s="1">
        <f>SUM(I3,I6,I9)</f>
        <v>1504.2514999999999</v>
      </c>
    </row>
    <row r="17" spans="2:3" x14ac:dyDescent="0.25">
      <c r="B17" s="1" t="s">
        <v>7</v>
      </c>
      <c r="C17" s="1">
        <f>SUM(I4,I7,I10)</f>
        <v>2382.375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2026-03-14T10:33:16Z</dcterms:modified>
</cp:coreProperties>
</file>