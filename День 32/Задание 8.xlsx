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FA3ED18F-038C-4134-95D5-48A0C513566B}" xr6:coauthVersionLast="47" xr6:coauthVersionMax="47" xr10:uidLastSave="{00000000-0000-0000-0000-000000000000}"/>
  <bookViews>
    <workbookView xWindow="13665" yWindow="735" windowWidth="15360" windowHeight="1143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I3" i="1" s="1"/>
  <c r="G4" i="1"/>
  <c r="H4" i="1" s="1"/>
  <c r="I4" i="1" s="1"/>
  <c r="C16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2" i="1"/>
  <c r="H2" i="1" s="1"/>
  <c r="I2" i="1" s="1"/>
  <c r="F3" i="1"/>
  <c r="F4" i="1"/>
  <c r="F5" i="1"/>
  <c r="F6" i="1"/>
  <c r="F7" i="1"/>
  <c r="F8" i="1"/>
  <c r="F9" i="1"/>
  <c r="F10" i="1"/>
  <c r="F11" i="1"/>
  <c r="F2" i="1"/>
  <c r="C15" i="1" l="1"/>
  <c r="C14" i="1"/>
  <c r="I17" i="1"/>
  <c r="I16" i="1"/>
  <c r="I15" i="1"/>
  <c r="I14" i="1"/>
  <c r="I13" i="1"/>
</calcChain>
</file>

<file path=xl/sharedStrings.xml><?xml version="1.0" encoding="utf-8"?>
<sst xmlns="http://schemas.openxmlformats.org/spreadsheetml/2006/main" count="39" uniqueCount="27">
  <si>
    <t>ФИО</t>
  </si>
  <si>
    <t>Дата рождения</t>
  </si>
  <si>
    <t>Дата Поступления</t>
  </si>
  <si>
    <t>Должность</t>
  </si>
  <si>
    <t>Оклад</t>
  </si>
  <si>
    <t>КИО</t>
  </si>
  <si>
    <t>КДИ</t>
  </si>
  <si>
    <t>КАИ</t>
  </si>
  <si>
    <t>ГАИ</t>
  </si>
  <si>
    <t>РОГ</t>
  </si>
  <si>
    <t>ГИР</t>
  </si>
  <si>
    <t>БИЛ</t>
  </si>
  <si>
    <t>МАХ</t>
  </si>
  <si>
    <t>ЛОР</t>
  </si>
  <si>
    <t>РОМ</t>
  </si>
  <si>
    <t>Программист</t>
  </si>
  <si>
    <t>Бухгалтер</t>
  </si>
  <si>
    <t>Уборщик</t>
  </si>
  <si>
    <t>Возраст</t>
  </si>
  <si>
    <t>Стаж</t>
  </si>
  <si>
    <t>Надбавка</t>
  </si>
  <si>
    <t>Оплата Труда</t>
  </si>
  <si>
    <t>Общая оплата</t>
  </si>
  <si>
    <t>Средняя оплата</t>
  </si>
  <si>
    <t>Меньше Средн.</t>
  </si>
  <si>
    <t>Минимум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</si>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</sst>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14" fontId="0" fillId="0" borderId="5" xfId="0" applyNumberFormat="1" applyBorder="1"/>
    <xf numFmtId="0" fontId="0" fillId="0" borderId="1" xfId="0" applyFill="1" applyBorder="1"/>
    <xf numFmtId="1" fontId="0" fillId="0" borderId="6" xfId="0" applyNumberFormat="1" applyBorder="1"/>
    <xf numFmtId="169" fontId="0" fillId="0" borderId="6" xfId="0" applyNumberFormat="1" applyBorder="1"/>
    <xf numFmtId="0" fontId="0" fillId="0" borderId="2" xfId="0" applyFill="1" applyBorder="1"/>
    <xf numFmtId="0" fontId="0" fillId="0" borderId="4" xfId="0" applyFill="1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Лист1!$C$13</c:f>
              <c:strCache>
                <c:ptCount val="1"/>
                <c:pt idx="0">
                  <c:v>Средняя оплата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Лист1!$B$14:$B$16</c:f>
              <c:strCache>
                <c:ptCount val="3"/>
                <c:pt idx="0">
                  <c:v>Программист</c:v>
                </c:pt>
                <c:pt idx="1">
                  <c:v>Бухгалтер</c:v>
                </c:pt>
                <c:pt idx="2">
                  <c:v>Уборщик</c:v>
                </c:pt>
              </c:strCache>
            </c:strRef>
          </c:cat>
          <c:val>
            <c:numRef>
              <c:f>Лист1!$C$14:$C$16</c:f>
              <c:numCache>
                <c:formatCode>General</c:formatCode>
                <c:ptCount val="3"/>
                <c:pt idx="0">
                  <c:v>1150</c:v>
                </c:pt>
                <c:pt idx="1">
                  <c:v>1020</c:v>
                </c:pt>
                <c:pt idx="2">
                  <c:v>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0-4EA8-8E56-A3237C5B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16</xdr:row>
      <xdr:rowOff>119062</xdr:rowOff>
    </xdr:from>
    <xdr:to>
      <xdr:col>5</xdr:col>
      <xdr:colOff>428625</xdr:colOff>
      <xdr:row>30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24D461-9AAA-4237-B282-F0D4577A7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26" sqref="G26"/>
    </sheetView>
  </sheetViews>
  <sheetFormatPr defaultRowHeight="15" x14ac:dyDescent="0.25"/>
  <cols>
    <col min="2" max="2" width="18.28515625" customWidth="1"/>
    <col min="3" max="3" width="18.140625" customWidth="1"/>
    <col min="4" max="4" width="18.28515625" customWidth="1"/>
    <col min="6" max="7" width="10.140625" bestFit="1" customWidth="1"/>
    <col min="8" max="9" width="14.855468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8" t="s">
        <v>18</v>
      </c>
      <c r="G1" s="8" t="s">
        <v>19</v>
      </c>
      <c r="H1" s="11" t="s">
        <v>20</v>
      </c>
      <c r="I1" s="12" t="s">
        <v>21</v>
      </c>
    </row>
    <row r="2" spans="1:9" x14ac:dyDescent="0.25">
      <c r="A2" s="5" t="s">
        <v>5</v>
      </c>
      <c r="B2" s="6">
        <v>35929</v>
      </c>
      <c r="C2" s="6">
        <v>42075</v>
      </c>
      <c r="D2" s="5" t="s">
        <v>15</v>
      </c>
      <c r="E2" s="5">
        <v>1000</v>
      </c>
      <c r="F2" s="9">
        <f ca="1">(TODAY()-B2)/365</f>
        <v>27.865753424657534</v>
      </c>
      <c r="G2" s="10">
        <f ca="1">(TODAY()-C2)/365</f>
        <v>11.027397260273972</v>
      </c>
      <c r="H2" s="5">
        <f ca="1">IF(G2&lt;5,0.1,IF(G2&lt;10,0.15,0.2))</f>
        <v>0.2</v>
      </c>
      <c r="I2" s="5">
        <f ca="1">E2+E2*H2</f>
        <v>1200</v>
      </c>
    </row>
    <row r="3" spans="1:9" x14ac:dyDescent="0.25">
      <c r="A3" s="4" t="s">
        <v>6</v>
      </c>
      <c r="B3" s="7">
        <v>36121</v>
      </c>
      <c r="C3" s="7">
        <v>42679</v>
      </c>
      <c r="D3" s="4" t="s">
        <v>16</v>
      </c>
      <c r="E3" s="4">
        <v>900</v>
      </c>
      <c r="F3" s="9">
        <f t="shared" ref="F3:F11" ca="1" si="0">(TODAY()-B3)/365</f>
        <v>27.339726027397262</v>
      </c>
      <c r="G3" s="10">
        <f t="shared" ref="G3:G11" ca="1" si="1">(TODAY()-C3)/365</f>
        <v>9.3726027397260268</v>
      </c>
      <c r="H3" s="5">
        <f t="shared" ref="H3:H11" ca="1" si="2">IF(G3&lt;5,0.1,IF(G3&lt;10,0.15,0.2))</f>
        <v>0.15</v>
      </c>
      <c r="I3" s="5">
        <f t="shared" ref="I3:I11" ca="1" si="3">E3+E3*H3</f>
        <v>1035</v>
      </c>
    </row>
    <row r="4" spans="1:9" x14ac:dyDescent="0.25">
      <c r="A4" s="4" t="s">
        <v>7</v>
      </c>
      <c r="B4" s="7">
        <v>36194</v>
      </c>
      <c r="C4" s="7">
        <v>42971</v>
      </c>
      <c r="D4" s="4" t="s">
        <v>17</v>
      </c>
      <c r="E4" s="4">
        <v>500</v>
      </c>
      <c r="F4" s="9">
        <f t="shared" ca="1" si="0"/>
        <v>27.139726027397259</v>
      </c>
      <c r="G4" s="10">
        <f t="shared" ca="1" si="1"/>
        <v>8.5726027397260278</v>
      </c>
      <c r="H4" s="5">
        <f t="shared" ca="1" si="2"/>
        <v>0.15</v>
      </c>
      <c r="I4" s="5">
        <f t="shared" ca="1" si="3"/>
        <v>575</v>
      </c>
    </row>
    <row r="5" spans="1:9" x14ac:dyDescent="0.25">
      <c r="A5" s="4" t="s">
        <v>8</v>
      </c>
      <c r="B5" s="7">
        <v>36768</v>
      </c>
      <c r="C5" s="7">
        <v>43495</v>
      </c>
      <c r="D5" s="5" t="s">
        <v>15</v>
      </c>
      <c r="E5" s="5">
        <v>1000</v>
      </c>
      <c r="F5" s="9">
        <f t="shared" ca="1" si="0"/>
        <v>25.567123287671233</v>
      </c>
      <c r="G5" s="10">
        <f t="shared" ca="1" si="1"/>
        <v>7.1369863013698627</v>
      </c>
      <c r="H5" s="5">
        <f t="shared" ca="1" si="2"/>
        <v>0.15</v>
      </c>
      <c r="I5" s="5">
        <f t="shared" ca="1" si="3"/>
        <v>1150</v>
      </c>
    </row>
    <row r="6" spans="1:9" x14ac:dyDescent="0.25">
      <c r="A6" s="4" t="s">
        <v>10</v>
      </c>
      <c r="B6" s="7">
        <v>36902</v>
      </c>
      <c r="C6" s="7">
        <v>44026</v>
      </c>
      <c r="D6" s="4" t="s">
        <v>16</v>
      </c>
      <c r="E6" s="4">
        <v>900</v>
      </c>
      <c r="F6" s="9">
        <f t="shared" ca="1" si="0"/>
        <v>25.2</v>
      </c>
      <c r="G6" s="10">
        <f t="shared" ca="1" si="1"/>
        <v>5.6821917808219178</v>
      </c>
      <c r="H6" s="5">
        <f t="shared" ca="1" si="2"/>
        <v>0.15</v>
      </c>
      <c r="I6" s="5">
        <f t="shared" ca="1" si="3"/>
        <v>1035</v>
      </c>
    </row>
    <row r="7" spans="1:9" x14ac:dyDescent="0.25">
      <c r="A7" s="4" t="s">
        <v>9</v>
      </c>
      <c r="B7" s="7">
        <v>37434</v>
      </c>
      <c r="C7" s="7">
        <v>44235</v>
      </c>
      <c r="D7" s="4" t="s">
        <v>17</v>
      </c>
      <c r="E7" s="4">
        <v>500</v>
      </c>
      <c r="F7" s="9">
        <f t="shared" ca="1" si="0"/>
        <v>23.742465753424657</v>
      </c>
      <c r="G7" s="10">
        <f t="shared" ca="1" si="1"/>
        <v>5.1095890410958908</v>
      </c>
      <c r="H7" s="5">
        <f t="shared" ca="1" si="2"/>
        <v>0.15</v>
      </c>
      <c r="I7" s="5">
        <f t="shared" ca="1" si="3"/>
        <v>575</v>
      </c>
    </row>
    <row r="8" spans="1:9" x14ac:dyDescent="0.25">
      <c r="A8" s="4" t="s">
        <v>11</v>
      </c>
      <c r="B8" s="7">
        <v>37879</v>
      </c>
      <c r="C8" s="7">
        <v>44734</v>
      </c>
      <c r="D8" s="5" t="s">
        <v>15</v>
      </c>
      <c r="E8" s="5">
        <v>1000</v>
      </c>
      <c r="F8" s="9">
        <f t="shared" ca="1" si="0"/>
        <v>22.523287671232875</v>
      </c>
      <c r="G8" s="10">
        <f t="shared" ca="1" si="1"/>
        <v>3.7424657534246575</v>
      </c>
      <c r="H8" s="5">
        <f t="shared" ca="1" si="2"/>
        <v>0.1</v>
      </c>
      <c r="I8" s="5">
        <f t="shared" ca="1" si="3"/>
        <v>1100</v>
      </c>
    </row>
    <row r="9" spans="1:9" x14ac:dyDescent="0.25">
      <c r="A9" s="4" t="s">
        <v>12</v>
      </c>
      <c r="B9" s="7">
        <v>37960</v>
      </c>
      <c r="C9" s="7">
        <v>45188</v>
      </c>
      <c r="D9" s="4" t="s">
        <v>16</v>
      </c>
      <c r="E9" s="4">
        <v>900</v>
      </c>
      <c r="F9" s="9">
        <f t="shared" ca="1" si="0"/>
        <v>22.301369863013697</v>
      </c>
      <c r="G9" s="10">
        <f t="shared" ca="1" si="1"/>
        <v>2.4986301369863013</v>
      </c>
      <c r="H9" s="5">
        <f t="shared" ca="1" si="2"/>
        <v>0.1</v>
      </c>
      <c r="I9" s="5">
        <f t="shared" ca="1" si="3"/>
        <v>990</v>
      </c>
    </row>
    <row r="10" spans="1:9" x14ac:dyDescent="0.25">
      <c r="A10" s="4" t="s">
        <v>13</v>
      </c>
      <c r="B10" s="7">
        <v>38096</v>
      </c>
      <c r="C10" s="7">
        <v>45415</v>
      </c>
      <c r="D10" s="4" t="s">
        <v>17</v>
      </c>
      <c r="E10" s="4">
        <v>500</v>
      </c>
      <c r="F10" s="9">
        <f t="shared" ca="1" si="0"/>
        <v>21.92876712328767</v>
      </c>
      <c r="G10" s="10">
        <f t="shared" ca="1" si="1"/>
        <v>1.8767123287671232</v>
      </c>
      <c r="H10" s="5">
        <f t="shared" ca="1" si="2"/>
        <v>0.1</v>
      </c>
      <c r="I10" s="5">
        <f t="shared" ca="1" si="3"/>
        <v>550</v>
      </c>
    </row>
    <row r="11" spans="1:9" x14ac:dyDescent="0.25">
      <c r="A11" s="4" t="s">
        <v>14</v>
      </c>
      <c r="B11" s="7">
        <v>38541</v>
      </c>
      <c r="C11" s="7">
        <v>46002</v>
      </c>
      <c r="D11" s="4" t="s">
        <v>17</v>
      </c>
      <c r="E11" s="4">
        <v>500</v>
      </c>
      <c r="F11" s="9">
        <f t="shared" ca="1" si="0"/>
        <v>20.709589041095889</v>
      </c>
      <c r="G11" s="10">
        <f t="shared" ca="1" si="1"/>
        <v>0.26849315068493151</v>
      </c>
      <c r="H11" s="5">
        <f t="shared" ca="1" si="2"/>
        <v>0.1</v>
      </c>
      <c r="I11" s="5">
        <f t="shared" ca="1" si="3"/>
        <v>550</v>
      </c>
    </row>
    <row r="12" spans="1:9" ht="15.75" thickBot="1" x14ac:dyDescent="0.3"/>
    <row r="13" spans="1:9" ht="15.75" thickBot="1" x14ac:dyDescent="0.3">
      <c r="B13" s="1" t="s">
        <v>3</v>
      </c>
      <c r="C13" s="13" t="s">
        <v>23</v>
      </c>
      <c r="H13" s="13" t="s">
        <v>22</v>
      </c>
      <c r="I13" s="3">
        <f ca="1">SUM(I2:I11)</f>
        <v>8760</v>
      </c>
    </row>
    <row r="14" spans="1:9" ht="15.75" thickBot="1" x14ac:dyDescent="0.3">
      <c r="B14" s="15" t="s">
        <v>15</v>
      </c>
      <c r="C14" s="18">
        <f ca="1">AVERAGE(I2,I5,I8)</f>
        <v>1150</v>
      </c>
      <c r="H14" s="13" t="s">
        <v>23</v>
      </c>
      <c r="I14" s="3">
        <f ca="1">AVERAGE(I2:I11)</f>
        <v>876</v>
      </c>
    </row>
    <row r="15" spans="1:9" ht="15.75" thickBot="1" x14ac:dyDescent="0.3">
      <c r="B15" s="16" t="s">
        <v>16</v>
      </c>
      <c r="C15" s="18">
        <f ca="1">AVERAGE(I3,I6,I9)</f>
        <v>1020</v>
      </c>
      <c r="H15" s="13" t="s">
        <v>24</v>
      </c>
      <c r="I15" s="13">
        <f ca="1">COUNTIF(I2:I11, "&lt;" &amp; AVERAGE(I2:I11))</f>
        <v>4</v>
      </c>
    </row>
    <row r="16" spans="1:9" ht="15.75" thickBot="1" x14ac:dyDescent="0.3">
      <c r="B16" s="17" t="s">
        <v>17</v>
      </c>
      <c r="C16" s="19">
        <f ca="1">AVERAGE(I4,I7,I10,I11)</f>
        <v>562.5</v>
      </c>
      <c r="H16" s="8" t="s">
        <v>25</v>
      </c>
      <c r="I16" s="3">
        <f ca="1">MIN(I2:I11)</f>
        <v>550</v>
      </c>
    </row>
    <row r="17" spans="8:9" ht="15.75" thickBot="1" x14ac:dyDescent="0.3">
      <c r="H17" s="8" t="s">
        <v>26</v>
      </c>
      <c r="I17" s="14">
        <f ca="1">MAX(I2:I11)</f>
        <v>1200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2026-03-19T06:46:47Z</dcterms:modified>
</cp:coreProperties>
</file>