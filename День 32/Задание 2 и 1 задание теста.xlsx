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fs-s-kz.students.mgke.loc\Profiles\students\GR_89\Кудлаш Иван\2-ой курс\Практика\день 32\"/>
    </mc:Choice>
  </mc:AlternateContent>
  <xr:revisionPtr revIDLastSave="0" documentId="13_ncr:1_{246DAA7B-501C-4A32-B5FD-F08D5DCC3E3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F13" i="1"/>
  <c r="C18" i="1"/>
  <c r="C17" i="1"/>
  <c r="C16" i="1"/>
  <c r="F11" i="1"/>
  <c r="G11" i="1"/>
  <c r="H11" i="1"/>
  <c r="E11" i="1"/>
</calcChain>
</file>

<file path=xl/sharedStrings.xml><?xml version="1.0" encoding="utf-8"?>
<sst xmlns="http://schemas.openxmlformats.org/spreadsheetml/2006/main" count="31" uniqueCount="28">
  <si>
    <t>РАСЧЕТ (КАЛЬКУЛЯЦИЯ)</t>
  </si>
  <si>
    <t>стоимости продуктов для салата</t>
  </si>
  <si>
    <t>на</t>
  </si>
  <si>
    <t>порции</t>
  </si>
  <si>
    <t>№</t>
  </si>
  <si>
    <t>ИТОГО</t>
  </si>
  <si>
    <t xml:space="preserve">Наименование </t>
  </si>
  <si>
    <t>Ед.Изм.</t>
  </si>
  <si>
    <t>Цена</t>
  </si>
  <si>
    <t>Кол-во</t>
  </si>
  <si>
    <t>Вес, г</t>
  </si>
  <si>
    <t>Стоимость</t>
  </si>
  <si>
    <t>Состав в %</t>
  </si>
  <si>
    <t>Картофель</t>
  </si>
  <si>
    <t>Фасоль</t>
  </si>
  <si>
    <t>Помидоры</t>
  </si>
  <si>
    <t>Рыба</t>
  </si>
  <si>
    <t>Капуста</t>
  </si>
  <si>
    <t>Яйца</t>
  </si>
  <si>
    <t>кг</t>
  </si>
  <si>
    <t>банка</t>
  </si>
  <si>
    <t>шт</t>
  </si>
  <si>
    <t>Вес порции , г.</t>
  </si>
  <si>
    <t>Стоимость порции</t>
  </si>
  <si>
    <t>Зарплата 25%</t>
  </si>
  <si>
    <t>Расходы</t>
  </si>
  <si>
    <t>Стоимость покупателю</t>
  </si>
  <si>
    <t>кол-во порций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</si>
</sst>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2" borderId="3" xfId="0" applyFill="1" applyBorder="1"/>
    <xf numFmtId="0" fontId="0" fillId="0" borderId="4" xfId="0" applyBorder="1"/>
    <xf numFmtId="0" fontId="0" fillId="0" borderId="1" xfId="0" applyBorder="1"/>
    <xf numFmtId="2" fontId="0" fillId="0" borderId="1" xfId="0" applyNumberFormat="1" applyBorder="1"/>
    <xf numFmtId="0" fontId="0" fillId="0" borderId="1" xfId="0" applyNumberFormat="1" applyBorder="1"/>
    <xf numFmtId="9" fontId="0" fillId="0" borderId="1" xfId="0" applyNumberFormat="1" applyBorder="1"/>
    <xf numFmtId="0" fontId="1" fillId="0" borderId="1" xfId="0" applyFont="1" applyBorder="1"/>
    <xf numFmtId="10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3B2-433B-BB66-6F6E421EA5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Лист1!$B$5:$B$10</c:f>
              <c:strCache>
                <c:ptCount val="6"/>
                <c:pt idx="0">
                  <c:v>Картофель</c:v>
                </c:pt>
                <c:pt idx="1">
                  <c:v>Фасоль</c:v>
                </c:pt>
                <c:pt idx="2">
                  <c:v>Помидоры</c:v>
                </c:pt>
                <c:pt idx="3">
                  <c:v>Рыба</c:v>
                </c:pt>
                <c:pt idx="4">
                  <c:v>Капуста</c:v>
                </c:pt>
                <c:pt idx="5">
                  <c:v>Яйца</c:v>
                </c:pt>
              </c:strCache>
            </c:strRef>
          </c:cat>
          <c:val>
            <c:numRef>
              <c:f>Лист1!$H$5:$H$10</c:f>
              <c:numCache>
                <c:formatCode>0%</c:formatCode>
                <c:ptCount val="6"/>
                <c:pt idx="0">
                  <c:v>0.03</c:v>
                </c:pt>
                <c:pt idx="1">
                  <c:v>7.0000000000000007E-2</c:v>
                </c:pt>
                <c:pt idx="2">
                  <c:v>0.37</c:v>
                </c:pt>
                <c:pt idx="3">
                  <c:v>0.32</c:v>
                </c:pt>
                <c:pt idx="4">
                  <c:v>0.15</c:v>
                </c:pt>
                <c:pt idx="5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2-433B-BB66-6F6E421EA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>
      <a:gsLst>
        <a:gs pos="0">
          <a:schemeClr val="accent1">
            <a:lumMod val="5000"/>
            <a:lumOff val="95000"/>
          </a:schemeClr>
        </a:gs>
        <a:gs pos="100000">
          <a:schemeClr val="accent2">
            <a:lumMod val="40000"/>
            <a:lumOff val="60000"/>
          </a:schemeClr>
        </a:gs>
      </a:gsLst>
      <a:lin ang="5400000" scaled="1"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90487</xdr:colOff>
      <xdr:row>2</xdr:row>
      <xdr:rowOff>100012</xdr:rowOff>
    </xdr:from>
    <xdr:to>
      <xdr:col>16</xdr:col>
      <xdr:colOff>395287</xdr:colOff>
      <xdr:row>16</xdr:row>
      <xdr:rowOff>176212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7A0A8CF-960E-4B0B-A26C-21EC0CC386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R21" sqref="R21"/>
    </sheetView>
  </sheetViews>
  <sheetFormatPr defaultRowHeight="15" x14ac:dyDescent="0.25"/>
  <cols>
    <col min="2" max="2" width="21.5703125" customWidth="1"/>
    <col min="5" max="5" width="15.5703125" customWidth="1"/>
    <col min="7" max="7" width="10.42578125" customWidth="1"/>
    <col min="8" max="8" width="10.5703125" customWidth="1"/>
  </cols>
  <sheetData>
    <row r="1" spans="1:8" x14ac:dyDescent="0.25">
      <c r="A1" s="1" t="s">
        <v>0</v>
      </c>
      <c r="B1" s="1"/>
      <c r="C1" s="1"/>
      <c r="D1" s="1"/>
      <c r="E1" s="1"/>
    </row>
    <row r="2" spans="1:8" ht="15.75" thickBot="1" x14ac:dyDescent="0.3">
      <c r="A2" s="1" t="s">
        <v>1</v>
      </c>
      <c r="B2" s="1"/>
      <c r="C2" s="1"/>
      <c r="D2" s="1"/>
      <c r="E2" s="1"/>
    </row>
    <row r="3" spans="1:8" x14ac:dyDescent="0.25">
      <c r="E3" s="2" t="s">
        <v>2</v>
      </c>
      <c r="F3" s="3"/>
      <c r="G3" s="4" t="s">
        <v>3</v>
      </c>
    </row>
    <row r="4" spans="1:8" x14ac:dyDescent="0.25">
      <c r="A4" s="5" t="s">
        <v>4</v>
      </c>
      <c r="B4" s="5" t="s">
        <v>6</v>
      </c>
      <c r="C4" s="5" t="s">
        <v>7</v>
      </c>
      <c r="D4" s="5" t="s">
        <v>8</v>
      </c>
      <c r="E4" s="5" t="s">
        <v>9</v>
      </c>
      <c r="F4" s="5" t="s">
        <v>10</v>
      </c>
      <c r="G4" s="5" t="s">
        <v>11</v>
      </c>
      <c r="H4" s="5" t="s">
        <v>12</v>
      </c>
    </row>
    <row r="5" spans="1:8" x14ac:dyDescent="0.25">
      <c r="A5" s="5">
        <v>1</v>
      </c>
      <c r="B5" s="5" t="s">
        <v>13</v>
      </c>
      <c r="C5" s="5" t="s">
        <v>19</v>
      </c>
      <c r="D5" s="6">
        <v>5</v>
      </c>
      <c r="E5" s="6">
        <v>0.3</v>
      </c>
      <c r="F5" s="6">
        <v>300</v>
      </c>
      <c r="G5" s="7">
        <v>1.5</v>
      </c>
      <c r="H5" s="8">
        <v>0.03</v>
      </c>
    </row>
    <row r="6" spans="1:8" x14ac:dyDescent="0.25">
      <c r="A6" s="5">
        <v>2</v>
      </c>
      <c r="B6" s="5" t="s">
        <v>14</v>
      </c>
      <c r="C6" s="5" t="s">
        <v>19</v>
      </c>
      <c r="D6" s="6">
        <v>12</v>
      </c>
      <c r="E6" s="6">
        <v>0.25</v>
      </c>
      <c r="F6" s="6">
        <v>250</v>
      </c>
      <c r="G6" s="7">
        <v>3</v>
      </c>
      <c r="H6" s="8">
        <v>7.0000000000000007E-2</v>
      </c>
    </row>
    <row r="7" spans="1:8" x14ac:dyDescent="0.25">
      <c r="A7" s="5">
        <v>3</v>
      </c>
      <c r="B7" s="5" t="s">
        <v>15</v>
      </c>
      <c r="C7" s="5" t="s">
        <v>19</v>
      </c>
      <c r="D7" s="6">
        <v>30</v>
      </c>
      <c r="E7" s="6">
        <v>0.55000000000000004</v>
      </c>
      <c r="F7" s="6">
        <v>550</v>
      </c>
      <c r="G7" s="7">
        <v>16.5</v>
      </c>
      <c r="H7" s="8">
        <v>0.37</v>
      </c>
    </row>
    <row r="8" spans="1:8" x14ac:dyDescent="0.25">
      <c r="A8" s="5">
        <v>4</v>
      </c>
      <c r="B8" s="5" t="s">
        <v>16</v>
      </c>
      <c r="C8" s="5" t="s">
        <v>20</v>
      </c>
      <c r="D8" s="6">
        <v>14.5</v>
      </c>
      <c r="E8" s="6">
        <v>1</v>
      </c>
      <c r="F8" s="6">
        <v>600</v>
      </c>
      <c r="G8" s="7">
        <v>14.5</v>
      </c>
      <c r="H8" s="8">
        <v>0.32</v>
      </c>
    </row>
    <row r="9" spans="1:8" x14ac:dyDescent="0.25">
      <c r="A9" s="5">
        <v>5</v>
      </c>
      <c r="B9" s="5" t="s">
        <v>17</v>
      </c>
      <c r="C9" s="5" t="s">
        <v>19</v>
      </c>
      <c r="D9" s="6">
        <v>9</v>
      </c>
      <c r="E9" s="6">
        <v>0.75</v>
      </c>
      <c r="F9" s="6">
        <v>750</v>
      </c>
      <c r="G9" s="7">
        <v>6.75</v>
      </c>
      <c r="H9" s="8">
        <v>0.15</v>
      </c>
    </row>
    <row r="10" spans="1:8" x14ac:dyDescent="0.25">
      <c r="A10" s="5">
        <v>6</v>
      </c>
      <c r="B10" s="5" t="s">
        <v>18</v>
      </c>
      <c r="C10" s="5" t="s">
        <v>21</v>
      </c>
      <c r="D10" s="6">
        <v>1.4</v>
      </c>
      <c r="E10" s="6">
        <v>2</v>
      </c>
      <c r="F10" s="6">
        <v>40</v>
      </c>
      <c r="G10" s="7">
        <v>2.8</v>
      </c>
      <c r="H10" s="8">
        <v>0.06</v>
      </c>
    </row>
    <row r="11" spans="1:8" x14ac:dyDescent="0.25">
      <c r="A11" s="5"/>
      <c r="B11" s="9" t="s">
        <v>5</v>
      </c>
      <c r="C11" s="5"/>
      <c r="D11" s="5"/>
      <c r="E11" s="6">
        <f>SUM(E5:E10)</f>
        <v>4.8499999999999996</v>
      </c>
      <c r="F11" s="6">
        <f t="shared" ref="F11:H11" si="0">SUM(F5:F10)</f>
        <v>2490</v>
      </c>
      <c r="G11" s="6">
        <f t="shared" si="0"/>
        <v>45.05</v>
      </c>
      <c r="H11" s="10">
        <f t="shared" si="0"/>
        <v>1</v>
      </c>
    </row>
    <row r="13" spans="1:8" x14ac:dyDescent="0.25">
      <c r="B13" s="5" t="s">
        <v>22</v>
      </c>
      <c r="C13" s="5">
        <v>100</v>
      </c>
      <c r="E13" s="5" t="s">
        <v>27</v>
      </c>
      <c r="F13" s="5">
        <f>F11/C13</f>
        <v>24.9</v>
      </c>
    </row>
    <row r="15" spans="1:8" x14ac:dyDescent="0.25">
      <c r="B15" s="5" t="s">
        <v>23</v>
      </c>
      <c r="C15" s="6">
        <f>C13/F11*G11</f>
        <v>1.8092369477911645</v>
      </c>
    </row>
    <row r="16" spans="1:8" x14ac:dyDescent="0.25">
      <c r="B16" s="5" t="s">
        <v>24</v>
      </c>
      <c r="C16" s="6">
        <f>C15/4</f>
        <v>0.45230923694779113</v>
      </c>
    </row>
    <row r="17" spans="2:3" x14ac:dyDescent="0.25">
      <c r="B17" s="5" t="s">
        <v>25</v>
      </c>
      <c r="C17" s="6">
        <f>(C15*0.8)</f>
        <v>1.4473895582329317</v>
      </c>
    </row>
    <row r="18" spans="2:3" x14ac:dyDescent="0.25">
      <c r="B18" s="5" t="s">
        <v>26</v>
      </c>
      <c r="C18" s="6">
        <f>C15*2.05</f>
        <v>3.708935742971887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Кудлаш Иван</dc:creator>
  <cp:lastModifiedBy>Кудлаш Иван</cp:lastModifiedBy>
  <dcterms:created xsi:type="dcterms:W3CDTF">2015-06-05T18:19:34Z</dcterms:created>
  <dcterms:modified xsi:type="dcterms:W3CDTF">2026-03-14T09:51:21Z</dcterms:modified>
</cp:coreProperties>
</file>