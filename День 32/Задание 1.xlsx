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2\"/>
    </mc:Choice>
  </mc:AlternateContent>
  <xr:revisionPtr revIDLastSave="0" documentId="13_ncr:1_{2209485A-A88F-4C3B-892C-4DF31011A8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ругозор" sheetId="1" r:id="rId1"/>
    <sheet name="Общий отчет" sheetId="3" r:id="rId2"/>
    <sheet name="Горизонт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  <c r="D9" i="2"/>
  <c r="C9" i="2"/>
  <c r="G9" i="2" s="1"/>
  <c r="B9" i="2"/>
  <c r="G8" i="2"/>
  <c r="F8" i="2"/>
  <c r="E8" i="2"/>
  <c r="G7" i="2"/>
  <c r="F7" i="2"/>
  <c r="E7" i="2"/>
  <c r="G6" i="2"/>
  <c r="F6" i="2"/>
  <c r="E6" i="2"/>
  <c r="G5" i="2"/>
  <c r="F5" i="2"/>
  <c r="E5" i="2"/>
  <c r="D15" i="1"/>
  <c r="D14" i="1"/>
  <c r="D13" i="1"/>
  <c r="D12" i="1"/>
  <c r="C15" i="1"/>
  <c r="C14" i="1"/>
  <c r="C13" i="1"/>
  <c r="C12" i="1"/>
  <c r="B15" i="1"/>
  <c r="B14" i="1"/>
  <c r="B12" i="1"/>
  <c r="B13" i="1"/>
  <c r="G6" i="1"/>
  <c r="G7" i="1"/>
  <c r="G8" i="1"/>
  <c r="G9" i="1"/>
  <c r="G5" i="1"/>
  <c r="F6" i="1"/>
  <c r="F7" i="1"/>
  <c r="F8" i="1"/>
  <c r="F9" i="1"/>
  <c r="F5" i="1"/>
  <c r="H2" i="1"/>
  <c r="H1" i="1"/>
  <c r="C9" i="1"/>
  <c r="D9" i="1"/>
  <c r="E9" i="1"/>
  <c r="B9" i="1"/>
  <c r="E5" i="1"/>
  <c r="E6" i="1"/>
  <c r="E7" i="1"/>
  <c r="E8" i="1"/>
  <c r="F9" i="2" l="1"/>
  <c r="E14" i="1"/>
  <c r="E15" i="1"/>
  <c r="E13" i="1"/>
  <c r="E12" i="1"/>
</calcChain>
</file>

<file path=xl/sharedStrings.xml><?xml version="1.0" encoding="utf-8"?>
<sst xmlns="http://schemas.openxmlformats.org/spreadsheetml/2006/main" count="47" uniqueCount="13">
  <si>
    <t>Объем продаж книг магазином “Кругозор”</t>
  </si>
  <si>
    <t>1 квартал</t>
  </si>
  <si>
    <t xml:space="preserve">январь </t>
  </si>
  <si>
    <t>февраль</t>
  </si>
  <si>
    <t>март</t>
  </si>
  <si>
    <t>итого</t>
  </si>
  <si>
    <t>техническая</t>
  </si>
  <si>
    <t>художественная</t>
  </si>
  <si>
    <t>детская</t>
  </si>
  <si>
    <t>юридическая</t>
  </si>
  <si>
    <t>макс</t>
  </si>
  <si>
    <t>мин</t>
  </si>
  <si>
    <t>Объем продаж книг магазином “Горизонт”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</si>
</sst>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в январе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Кругозор!$A$12:$A$15</c:f>
              <c:strCache>
                <c:ptCount val="4"/>
                <c:pt idx="0">
                  <c:v>техническая</c:v>
                </c:pt>
                <c:pt idx="1">
                  <c:v>художественная</c:v>
                </c:pt>
                <c:pt idx="2">
                  <c:v>детская</c:v>
                </c:pt>
                <c:pt idx="3">
                  <c:v>юридическая</c:v>
                </c:pt>
              </c:strCache>
            </c:strRef>
          </c:cat>
          <c:val>
            <c:numRef>
              <c:f>Кругозор!$B$12:$B$15</c:f>
              <c:numCache>
                <c:formatCode>0.00%</c:formatCode>
                <c:ptCount val="4"/>
                <c:pt idx="0">
                  <c:v>0.14854941615504996</c:v>
                </c:pt>
                <c:pt idx="1">
                  <c:v>7.8728782954135074E-2</c:v>
                </c:pt>
                <c:pt idx="2">
                  <c:v>0.65390634404718917</c:v>
                </c:pt>
                <c:pt idx="3">
                  <c:v>0.11881545684362586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3-466E-BF46-FBF4DBA7FD9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за 1 квартал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Кругозор!$B$11</c:f>
              <c:strCache>
                <c:ptCount val="1"/>
                <c:pt idx="0">
                  <c:v>январь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Кругозор!$A$12:$A$15</c:f>
              <c:strCache>
                <c:ptCount val="4"/>
                <c:pt idx="0">
                  <c:v>техническая</c:v>
                </c:pt>
                <c:pt idx="1">
                  <c:v>художественная</c:v>
                </c:pt>
                <c:pt idx="2">
                  <c:v>детская</c:v>
                </c:pt>
                <c:pt idx="3">
                  <c:v>юридическая</c:v>
                </c:pt>
              </c:strCache>
            </c:strRef>
          </c:cat>
          <c:val>
            <c:numRef>
              <c:f>Кругозор!$B$12:$B$15</c:f>
              <c:numCache>
                <c:formatCode>0.00%</c:formatCode>
                <c:ptCount val="4"/>
                <c:pt idx="0">
                  <c:v>0.14854941615504996</c:v>
                </c:pt>
                <c:pt idx="1">
                  <c:v>7.8728782954135074E-2</c:v>
                </c:pt>
                <c:pt idx="2">
                  <c:v>0.65390634404718917</c:v>
                </c:pt>
                <c:pt idx="3">
                  <c:v>0.11881545684362586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A-4DC6-AA79-6D8F7FFFC78A}"/>
            </c:ext>
          </c:extLst>
        </c:ser>
        <c:ser>
          <c:idx val="1"/>
          <c:order val="1"/>
          <c:tx>
            <c:strRef>
              <c:f>Кругозор!$C$11</c:f>
              <c:strCache>
                <c:ptCount val="1"/>
                <c:pt idx="0">
                  <c:v>февраль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Кругозор!$A$12:$A$15</c:f>
              <c:strCache>
                <c:ptCount val="4"/>
                <c:pt idx="0">
                  <c:v>техническая</c:v>
                </c:pt>
                <c:pt idx="1">
                  <c:v>художественная</c:v>
                </c:pt>
                <c:pt idx="2">
                  <c:v>детская</c:v>
                </c:pt>
                <c:pt idx="3">
                  <c:v>юридическая</c:v>
                </c:pt>
              </c:strCache>
            </c:strRef>
          </c:cat>
          <c:val>
            <c:numRef>
              <c:f>Кругозор!$C$12:$C$15</c:f>
              <c:numCache>
                <c:formatCode>0.00%</c:formatCode>
                <c:ptCount val="4"/>
                <c:pt idx="0">
                  <c:v>0.14080310827963088</c:v>
                </c:pt>
                <c:pt idx="1">
                  <c:v>0.31221558792439891</c:v>
                </c:pt>
                <c:pt idx="2">
                  <c:v>0.22660321684086801</c:v>
                </c:pt>
                <c:pt idx="3">
                  <c:v>0.32037808695510217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3A-4DC6-AA79-6D8F7FFFC78A}"/>
            </c:ext>
          </c:extLst>
        </c:ser>
        <c:ser>
          <c:idx val="2"/>
          <c:order val="2"/>
          <c:tx>
            <c:strRef>
              <c:f>Кругозор!$D$11</c:f>
              <c:strCache>
                <c:ptCount val="1"/>
                <c:pt idx="0">
                  <c:v>март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Кругозор!$A$12:$A$15</c:f>
              <c:strCache>
                <c:ptCount val="4"/>
                <c:pt idx="0">
                  <c:v>техническая</c:v>
                </c:pt>
                <c:pt idx="1">
                  <c:v>художественная</c:v>
                </c:pt>
                <c:pt idx="2">
                  <c:v>детская</c:v>
                </c:pt>
                <c:pt idx="3">
                  <c:v>юридическая</c:v>
                </c:pt>
              </c:strCache>
            </c:strRef>
          </c:cat>
          <c:val>
            <c:numRef>
              <c:f>Кругозор!$D$12:$D$15</c:f>
              <c:numCache>
                <c:formatCode>0.00%</c:formatCode>
                <c:ptCount val="4"/>
                <c:pt idx="0">
                  <c:v>0.14624999999999999</c:v>
                </c:pt>
                <c:pt idx="1">
                  <c:v>0.16562499999999999</c:v>
                </c:pt>
                <c:pt idx="2">
                  <c:v>0.27750000000000002</c:v>
                </c:pt>
                <c:pt idx="3">
                  <c:v>0.41062500000000002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3A-4DC6-AA79-6D8F7FFFC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3031759"/>
        <c:axId val="1904116447"/>
      </c:barChart>
      <c:catAx>
        <c:axId val="166303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4116447"/>
        <c:crosses val="autoZero"/>
        <c:auto val="1"/>
        <c:lblAlgn val="ctr"/>
        <c:lblOffset val="100"/>
        <c:noMultiLvlLbl val="0"/>
      </c:catAx>
      <c:valAx>
        <c:axId val="190411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303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100012</xdr:rowOff>
    </xdr:from>
    <xdr:to>
      <xdr:col>15</xdr:col>
      <xdr:colOff>381000</xdr:colOff>
      <xdr:row>14</xdr:row>
      <xdr:rowOff>176212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481FD7F-97DF-4D73-B836-5057E2823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123825</xdr:colOff>
      <xdr:row>15</xdr:row>
      <xdr:rowOff>33337</xdr:rowOff>
    </xdr:from>
    <xdr:to>
      <xdr:col>15</xdr:col>
      <xdr:colOff>428625</xdr:colOff>
      <xdr:row>29</xdr:row>
      <xdr:rowOff>109537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5BECA8C-B1BA-49F7-8968-660C060F6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Q28" sqref="Q28"/>
    </sheetView>
  </sheetViews>
  <sheetFormatPr defaultRowHeight="15" x14ac:dyDescent="0.25"/>
  <cols>
    <col min="1" max="1" width="40.42578125" customWidth="1"/>
    <col min="2" max="4" width="9.28515625" bestFit="1" customWidth="1"/>
    <col min="5" max="5" width="10.140625" bestFit="1" customWidth="1"/>
  </cols>
  <sheetData>
    <row r="1" spans="1:8" x14ac:dyDescent="0.25">
      <c r="A1" t="s">
        <v>0</v>
      </c>
      <c r="H1" s="1">
        <f>SUM(B5,C5,B8,C8)</f>
        <v>3351</v>
      </c>
    </row>
    <row r="2" spans="1:8" x14ac:dyDescent="0.25">
      <c r="A2" t="s">
        <v>1</v>
      </c>
      <c r="H2" s="1">
        <f>SUM(C6,C7,D6,D7)</f>
        <v>2029.23</v>
      </c>
    </row>
    <row r="4" spans="1:8" x14ac:dyDescent="0.25">
      <c r="B4" t="s">
        <v>2</v>
      </c>
      <c r="C4" t="s">
        <v>3</v>
      </c>
      <c r="D4" t="s">
        <v>4</v>
      </c>
      <c r="E4" t="s">
        <v>5</v>
      </c>
      <c r="F4" t="s">
        <v>10</v>
      </c>
      <c r="G4" t="s">
        <v>11</v>
      </c>
    </row>
    <row r="5" spans="1:8" x14ac:dyDescent="0.25">
      <c r="A5" t="s">
        <v>6</v>
      </c>
      <c r="B5" s="1">
        <v>1234</v>
      </c>
      <c r="C5" s="1">
        <v>345</v>
      </c>
      <c r="D5" s="1">
        <v>234</v>
      </c>
      <c r="E5" s="1">
        <f>SUM(B5:D5)</f>
        <v>1813</v>
      </c>
      <c r="F5" s="1">
        <f>MAX(B5:D5)</f>
        <v>1234</v>
      </c>
      <c r="G5" s="1">
        <f>MIN(B5:D5)</f>
        <v>234</v>
      </c>
    </row>
    <row r="6" spans="1:8" x14ac:dyDescent="0.25">
      <c r="A6" t="s">
        <v>7</v>
      </c>
      <c r="B6" s="1">
        <v>654</v>
      </c>
      <c r="C6" s="1">
        <v>765</v>
      </c>
      <c r="D6" s="1">
        <v>265</v>
      </c>
      <c r="E6" s="1">
        <f t="shared" ref="E6:E8" si="0">SUM(B6:D6)</f>
        <v>1684</v>
      </c>
      <c r="F6" s="1">
        <f t="shared" ref="F6:F9" si="1">MAX(B6:D6)</f>
        <v>765</v>
      </c>
      <c r="G6" s="1">
        <f t="shared" ref="G6:G9" si="2">MIN(B6:D6)</f>
        <v>265</v>
      </c>
    </row>
    <row r="7" spans="1:8" x14ac:dyDescent="0.25">
      <c r="A7" t="s">
        <v>8</v>
      </c>
      <c r="B7" s="1">
        <v>5432</v>
      </c>
      <c r="C7" s="1">
        <v>555.23</v>
      </c>
      <c r="D7" s="1">
        <v>444</v>
      </c>
      <c r="E7" s="1">
        <f t="shared" si="0"/>
        <v>6431.23</v>
      </c>
      <c r="F7" s="1">
        <f t="shared" si="1"/>
        <v>5432</v>
      </c>
      <c r="G7" s="1">
        <f t="shared" si="2"/>
        <v>444</v>
      </c>
    </row>
    <row r="8" spans="1:8" x14ac:dyDescent="0.25">
      <c r="A8" t="s">
        <v>9</v>
      </c>
      <c r="B8" s="1">
        <v>987</v>
      </c>
      <c r="C8" s="1">
        <v>785</v>
      </c>
      <c r="D8" s="1">
        <v>657</v>
      </c>
      <c r="E8" s="1">
        <f t="shared" si="0"/>
        <v>2429</v>
      </c>
      <c r="F8" s="1">
        <f t="shared" si="1"/>
        <v>987</v>
      </c>
      <c r="G8" s="1">
        <f t="shared" si="2"/>
        <v>657</v>
      </c>
    </row>
    <row r="9" spans="1:8" x14ac:dyDescent="0.25">
      <c r="A9" t="s">
        <v>5</v>
      </c>
      <c r="B9" s="1">
        <f>SUM(B5:B8)</f>
        <v>8307</v>
      </c>
      <c r="C9" s="1">
        <f t="shared" ref="C9:E9" si="3">SUM(C5:C8)</f>
        <v>2450.23</v>
      </c>
      <c r="D9" s="1">
        <f t="shared" si="3"/>
        <v>1600</v>
      </c>
      <c r="E9" s="1">
        <f t="shared" si="3"/>
        <v>12357.23</v>
      </c>
      <c r="F9" s="1">
        <f t="shared" si="1"/>
        <v>8307</v>
      </c>
      <c r="G9" s="1">
        <f t="shared" si="2"/>
        <v>1600</v>
      </c>
    </row>
    <row r="11" spans="1:8" x14ac:dyDescent="0.25">
      <c r="B11" t="s">
        <v>2</v>
      </c>
      <c r="C11" t="s">
        <v>3</v>
      </c>
      <c r="D11" t="s">
        <v>4</v>
      </c>
      <c r="E11" t="s">
        <v>5</v>
      </c>
    </row>
    <row r="12" spans="1:8" x14ac:dyDescent="0.25">
      <c r="A12" t="s">
        <v>6</v>
      </c>
      <c r="B12" s="2">
        <f>(B5/B9)</f>
        <v>0.14854941615504996</v>
      </c>
      <c r="C12" s="2">
        <f>(C5/C9)</f>
        <v>0.14080310827963088</v>
      </c>
      <c r="D12" s="2">
        <f>(D5/D9)</f>
        <v>0.14624999999999999</v>
      </c>
      <c r="E12" s="2">
        <f>SUM(B12:D12)</f>
        <v>0.43560252443468084</v>
      </c>
    </row>
    <row r="13" spans="1:8" x14ac:dyDescent="0.25">
      <c r="A13" t="s">
        <v>7</v>
      </c>
      <c r="B13" s="2">
        <f>(B6/B9)</f>
        <v>7.8728782954135074E-2</v>
      </c>
      <c r="C13" s="2">
        <f>(C6/C9)</f>
        <v>0.31221558792439891</v>
      </c>
      <c r="D13" s="2">
        <f>(D6/D9)</f>
        <v>0.16562499999999999</v>
      </c>
      <c r="E13" s="2">
        <f t="shared" ref="E13:E15" si="4">SUM(B13:D13)</f>
        <v>0.55656937087853398</v>
      </c>
    </row>
    <row r="14" spans="1:8" x14ac:dyDescent="0.25">
      <c r="A14" t="s">
        <v>8</v>
      </c>
      <c r="B14" s="2">
        <f>(B7/B9)</f>
        <v>0.65390634404718917</v>
      </c>
      <c r="C14" s="2">
        <f>(C7/C9)</f>
        <v>0.22660321684086801</v>
      </c>
      <c r="D14" s="2">
        <f>(D7/D9)</f>
        <v>0.27750000000000002</v>
      </c>
      <c r="E14" s="2">
        <f t="shared" si="4"/>
        <v>1.1580095608880572</v>
      </c>
    </row>
    <row r="15" spans="1:8" x14ac:dyDescent="0.25">
      <c r="A15" t="s">
        <v>9</v>
      </c>
      <c r="B15" s="2">
        <f>(B8/B9)</f>
        <v>0.11881545684362586</v>
      </c>
      <c r="C15" s="2">
        <f>(C8/C9)</f>
        <v>0.32037808695510217</v>
      </c>
      <c r="D15" s="2">
        <f>(D8/D9)</f>
        <v>0.41062500000000002</v>
      </c>
      <c r="E15" s="2">
        <f t="shared" si="4"/>
        <v>0.84981854379872801</v>
      </c>
    </row>
    <row r="16" spans="1:8" x14ac:dyDescent="0.25">
      <c r="B16" s="1"/>
      <c r="C16" s="1"/>
      <c r="D16" s="1"/>
      <c r="E16" s="1"/>
    </row>
  </sheetData>
  <phoneticPr fontId="1" type="noConversion"/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CDD1-621A-4CFD-AD78-D01EBC61081E}">
  <dimension ref="A1:G9"/>
  <sheetViews>
    <sheetView workbookViewId="0">
      <selection activeCell="B5" sqref="B5:G9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</row>
    <row r="4" spans="1:7" x14ac:dyDescent="0.25">
      <c r="B4" t="s">
        <v>2</v>
      </c>
      <c r="C4" t="s">
        <v>3</v>
      </c>
      <c r="D4" t="s">
        <v>4</v>
      </c>
      <c r="E4" t="s">
        <v>5</v>
      </c>
      <c r="F4" t="s">
        <v>10</v>
      </c>
      <c r="G4" t="s">
        <v>11</v>
      </c>
    </row>
    <row r="5" spans="1:7" x14ac:dyDescent="0.25">
      <c r="A5" t="s">
        <v>6</v>
      </c>
      <c r="B5" s="1"/>
      <c r="C5" s="1"/>
      <c r="D5" s="1"/>
      <c r="E5" s="1"/>
      <c r="F5" s="1"/>
      <c r="G5" s="1"/>
    </row>
    <row r="6" spans="1:7" x14ac:dyDescent="0.25">
      <c r="A6" t="s">
        <v>7</v>
      </c>
      <c r="B6" s="1"/>
      <c r="C6" s="1"/>
      <c r="D6" s="1"/>
      <c r="E6" s="1"/>
      <c r="F6" s="1"/>
      <c r="G6" s="1"/>
    </row>
    <row r="7" spans="1:7" x14ac:dyDescent="0.25">
      <c r="A7" t="s">
        <v>8</v>
      </c>
      <c r="B7" s="1"/>
      <c r="C7" s="1"/>
      <c r="D7" s="1"/>
      <c r="E7" s="1"/>
      <c r="F7" s="1"/>
      <c r="G7" s="1"/>
    </row>
    <row r="8" spans="1:7" x14ac:dyDescent="0.25">
      <c r="A8" t="s">
        <v>9</v>
      </c>
      <c r="B8" s="1"/>
      <c r="C8" s="1"/>
      <c r="D8" s="1"/>
      <c r="E8" s="1"/>
      <c r="F8" s="1"/>
      <c r="G8" s="1"/>
    </row>
    <row r="9" spans="1:7" x14ac:dyDescent="0.25">
      <c r="A9" t="s">
        <v>5</v>
      </c>
      <c r="B9" s="1"/>
      <c r="C9" s="1"/>
      <c r="D9" s="1"/>
      <c r="E9" s="1"/>
      <c r="F9" s="1"/>
      <c r="G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C278-5F17-440E-BB46-4844A09318C3}">
  <dimension ref="A1:G9"/>
  <sheetViews>
    <sheetView workbookViewId="0">
      <selection activeCell="F21" sqref="F21"/>
    </sheetView>
  </sheetViews>
  <sheetFormatPr defaultRowHeight="15" x14ac:dyDescent="0.25"/>
  <sheetData>
    <row r="1" spans="1:7" x14ac:dyDescent="0.25">
      <c r="A1" t="s">
        <v>12</v>
      </c>
    </row>
    <row r="2" spans="1:7" x14ac:dyDescent="0.25">
      <c r="A2" t="s">
        <v>1</v>
      </c>
    </row>
    <row r="4" spans="1:7" x14ac:dyDescent="0.25">
      <c r="B4" t="s">
        <v>2</v>
      </c>
      <c r="C4" t="s">
        <v>3</v>
      </c>
      <c r="D4" t="s">
        <v>4</v>
      </c>
      <c r="E4" t="s">
        <v>5</v>
      </c>
      <c r="F4" t="s">
        <v>10</v>
      </c>
      <c r="G4" t="s">
        <v>11</v>
      </c>
    </row>
    <row r="5" spans="1:7" x14ac:dyDescent="0.25">
      <c r="A5" t="s">
        <v>6</v>
      </c>
      <c r="B5" s="1">
        <v>1234</v>
      </c>
      <c r="C5" s="1">
        <v>345</v>
      </c>
      <c r="D5" s="1">
        <v>234</v>
      </c>
      <c r="E5" s="1">
        <f>SUM(B5:D5)</f>
        <v>1813</v>
      </c>
      <c r="F5" s="1">
        <f>MAX(B5:D5)</f>
        <v>1234</v>
      </c>
      <c r="G5" s="1">
        <f>MIN(B5:D5)</f>
        <v>234</v>
      </c>
    </row>
    <row r="6" spans="1:7" x14ac:dyDescent="0.25">
      <c r="A6" t="s">
        <v>7</v>
      </c>
      <c r="B6" s="1">
        <v>654</v>
      </c>
      <c r="C6" s="1">
        <v>765</v>
      </c>
      <c r="D6" s="1">
        <v>265</v>
      </c>
      <c r="E6" s="1">
        <f t="shared" ref="E6:E8" si="0">SUM(B6:D6)</f>
        <v>1684</v>
      </c>
      <c r="F6" s="1">
        <f t="shared" ref="F6:F9" si="1">MAX(B6:D6)</f>
        <v>765</v>
      </c>
      <c r="G6" s="1">
        <f t="shared" ref="G6:G9" si="2">MIN(B6:D6)</f>
        <v>265</v>
      </c>
    </row>
    <row r="7" spans="1:7" x14ac:dyDescent="0.25">
      <c r="A7" t="s">
        <v>8</v>
      </c>
      <c r="B7" s="1">
        <v>5432</v>
      </c>
      <c r="C7" s="1">
        <v>555.23</v>
      </c>
      <c r="D7" s="1">
        <v>444</v>
      </c>
      <c r="E7" s="1">
        <f t="shared" si="0"/>
        <v>6431.23</v>
      </c>
      <c r="F7" s="1">
        <f t="shared" si="1"/>
        <v>5432</v>
      </c>
      <c r="G7" s="1">
        <f t="shared" si="2"/>
        <v>444</v>
      </c>
    </row>
    <row r="8" spans="1:7" x14ac:dyDescent="0.25">
      <c r="A8" t="s">
        <v>9</v>
      </c>
      <c r="B8" s="1">
        <v>987</v>
      </c>
      <c r="C8" s="1">
        <v>784</v>
      </c>
      <c r="D8" s="1">
        <v>657</v>
      </c>
      <c r="E8" s="1">
        <f t="shared" si="0"/>
        <v>2428</v>
      </c>
      <c r="F8" s="1">
        <f t="shared" si="1"/>
        <v>987</v>
      </c>
      <c r="G8" s="1">
        <f t="shared" si="2"/>
        <v>657</v>
      </c>
    </row>
    <row r="9" spans="1:7" x14ac:dyDescent="0.25">
      <c r="A9" t="s">
        <v>5</v>
      </c>
      <c r="B9" s="1">
        <f>SUM(B5:B8)</f>
        <v>8307</v>
      </c>
      <c r="C9" s="1">
        <f t="shared" ref="C9:E9" si="3">SUM(C5:C8)</f>
        <v>2449.23</v>
      </c>
      <c r="D9" s="1">
        <f t="shared" si="3"/>
        <v>1600</v>
      </c>
      <c r="E9" s="1">
        <f t="shared" si="3"/>
        <v>12356.23</v>
      </c>
      <c r="F9" s="1">
        <f t="shared" si="1"/>
        <v>8307</v>
      </c>
      <c r="G9" s="1">
        <f t="shared" si="2"/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Кругозор</vt:lpstr>
      <vt:lpstr>Общий отчет</vt:lpstr>
      <vt:lpstr>Горизонт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2026-03-14T09:26:44Z</dcterms:modified>
</cp:coreProperties>
</file>