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fs-s-kz.students.mgke.loc\Profiles\students\GR_89\Кудлаш Иван\2-ой курс\Практика\день 34\"/>
    </mc:Choice>
  </mc:AlternateContent>
  <xr:revisionPtr revIDLastSave="0" documentId="13_ncr:1_{2140FC41-E18F-4BFB-8361-9C7EE92AF4C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2" i="1"/>
  <c r="G4" i="1"/>
  <c r="G5" i="1"/>
  <c r="G6" i="1"/>
  <c r="G7" i="1"/>
  <c r="G8" i="1"/>
  <c r="G9" i="1"/>
  <c r="G10" i="1"/>
  <c r="G11" i="1"/>
  <c r="G12" i="1"/>
  <c r="G3" i="1"/>
  <c r="E5" i="1"/>
  <c r="E6" i="1" s="1"/>
  <c r="E7" i="1" s="1"/>
  <c r="E8" i="1" s="1"/>
  <c r="E9" i="1" s="1"/>
  <c r="E10" i="1" s="1"/>
  <c r="E11" i="1" s="1"/>
  <c r="E12" i="1" s="1"/>
  <c r="E4" i="1"/>
  <c r="E3" i="1"/>
</calcChain>
</file>

<file path=xl/sharedStrings.xml><?xml version="1.0" encoding="utf-8"?>
<sst xmlns="http://schemas.openxmlformats.org/spreadsheetml/2006/main" count="15" uniqueCount="15">
  <si>
    <t>Исходные данные</t>
  </si>
  <si>
    <t>температура</t>
  </si>
  <si>
    <t xml:space="preserve">шаг </t>
  </si>
  <si>
    <t>Коэффициенты</t>
  </si>
  <si>
    <t>A0</t>
  </si>
  <si>
    <t>A1</t>
  </si>
  <si>
    <t>A2</t>
  </si>
  <si>
    <t xml:space="preserve">Эксперименты </t>
  </si>
  <si>
    <t>№</t>
  </si>
  <si>
    <t xml:space="preserve">Температура </t>
  </si>
  <si>
    <r>
      <t>Y</t>
    </r>
    <r>
      <rPr>
        <sz val="9"/>
        <color theme="1"/>
        <rFont val="Calibri"/>
        <family val="2"/>
        <charset val="204"/>
        <scheme val="minor"/>
      </rPr>
      <t>экспер</t>
    </r>
  </si>
  <si>
    <r>
      <t>Y</t>
    </r>
    <r>
      <rPr>
        <sz val="9"/>
        <color theme="1"/>
        <rFont val="Calibri"/>
        <family val="2"/>
        <charset val="204"/>
        <scheme val="minor"/>
      </rPr>
      <t>расчет</t>
    </r>
  </si>
  <si>
    <t>Обработка эксперимента</t>
  </si>
  <si>
    <t>Минимум</t>
  </si>
  <si>
    <t>Персон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</si>
</sst>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y = -0.0054x2 + 0.6014x - 5.9667 R2 = 0.9817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Лист1!$F$2</c:f>
              <c:strCache>
                <c:ptCount val="1"/>
                <c:pt idx="0">
                  <c:v>Yэкспер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Лист1!$E$3:$E$12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Лист1!$F$3:$F$12</c:f>
              <c:numCache>
                <c:formatCode>General</c:formatCode>
                <c:ptCount val="10"/>
                <c:pt idx="0">
                  <c:v>0</c:v>
                </c:pt>
                <c:pt idx="1">
                  <c:v>3</c:v>
                </c:pt>
                <c:pt idx="2">
                  <c:v>7</c:v>
                </c:pt>
                <c:pt idx="3">
                  <c:v>10</c:v>
                </c:pt>
                <c:pt idx="4">
                  <c:v>11</c:v>
                </c:pt>
                <c:pt idx="5">
                  <c:v>11</c:v>
                </c:pt>
                <c:pt idx="6">
                  <c:v>10</c:v>
                </c:pt>
                <c:pt idx="7">
                  <c:v>7</c:v>
                </c:pt>
                <c:pt idx="8">
                  <c:v>4</c:v>
                </c:pt>
                <c:pt idx="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C0-46F8-9A7F-DC4039E98BB1}"/>
            </c:ext>
          </c:extLst>
        </c:ser>
        <c:ser>
          <c:idx val="1"/>
          <c:order val="1"/>
          <c:tx>
            <c:strRef>
              <c:f>Лист1!$G$2</c:f>
              <c:strCache>
                <c:ptCount val="1"/>
                <c:pt idx="0">
                  <c:v>Yрасчет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Лист1!$E$3:$E$12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Лист1!$G$3:$G$12</c:f>
              <c:numCache>
                <c:formatCode>General</c:formatCode>
                <c:ptCount val="10"/>
                <c:pt idx="0">
                  <c:v>111</c:v>
                </c:pt>
                <c:pt idx="1">
                  <c:v>421</c:v>
                </c:pt>
                <c:pt idx="2">
                  <c:v>931</c:v>
                </c:pt>
                <c:pt idx="3">
                  <c:v>1641</c:v>
                </c:pt>
                <c:pt idx="4">
                  <c:v>2551</c:v>
                </c:pt>
                <c:pt idx="5">
                  <c:v>3661</c:v>
                </c:pt>
                <c:pt idx="6">
                  <c:v>4971</c:v>
                </c:pt>
                <c:pt idx="7">
                  <c:v>6481</c:v>
                </c:pt>
                <c:pt idx="8">
                  <c:v>8191</c:v>
                </c:pt>
                <c:pt idx="9">
                  <c:v>10101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C0-46F8-9A7F-DC4039E98B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7619888"/>
        <c:axId val="1917619472"/>
      </c:scatterChart>
      <c:valAx>
        <c:axId val="1917619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7619472"/>
        <c:crosses val="autoZero"/>
        <c:crossBetween val="midCat"/>
      </c:valAx>
      <c:valAx>
        <c:axId val="191761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7619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504825</xdr:colOff>
      <xdr:row>4</xdr:row>
      <xdr:rowOff>52387</xdr:rowOff>
    </xdr:from>
    <xdr:to>
      <xdr:col>15</xdr:col>
      <xdr:colOff>85725</xdr:colOff>
      <xdr:row>18</xdr:row>
      <xdr:rowOff>128587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E024CD2D-6248-46A0-865A-B291448B7E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selection activeCell="Q8" sqref="Q8"/>
    </sheetView>
  </sheetViews>
  <sheetFormatPr defaultRowHeight="15" x14ac:dyDescent="0.25"/>
  <cols>
    <col min="1" max="1" width="13.140625" customWidth="1"/>
    <col min="9" max="9" width="10" customWidth="1"/>
    <col min="10" max="10" width="10" bestFit="1" customWidth="1"/>
  </cols>
  <sheetData>
    <row r="1" spans="1:10" ht="31.5" customHeight="1" x14ac:dyDescent="0.25">
      <c r="A1" s="2" t="s">
        <v>0</v>
      </c>
      <c r="B1" s="2"/>
      <c r="D1" s="3" t="s">
        <v>7</v>
      </c>
      <c r="E1" s="3"/>
      <c r="F1" s="3"/>
      <c r="G1" s="3"/>
      <c r="I1" s="4" t="s">
        <v>12</v>
      </c>
      <c r="J1" s="4"/>
    </row>
    <row r="2" spans="1:10" x14ac:dyDescent="0.25">
      <c r="A2" s="1" t="s">
        <v>1</v>
      </c>
      <c r="B2" s="1">
        <v>10</v>
      </c>
      <c r="D2" s="1" t="s">
        <v>8</v>
      </c>
      <c r="E2" s="1" t="s">
        <v>9</v>
      </c>
      <c r="F2" s="1" t="s">
        <v>10</v>
      </c>
      <c r="G2" s="1" t="s">
        <v>11</v>
      </c>
      <c r="I2" s="1" t="s">
        <v>13</v>
      </c>
      <c r="J2" s="1">
        <f>SUMXMY2(F3:F12,G3:G12)</f>
        <v>259036248</v>
      </c>
    </row>
    <row r="3" spans="1:10" x14ac:dyDescent="0.25">
      <c r="A3" s="1" t="s">
        <v>2</v>
      </c>
      <c r="B3" s="1">
        <v>10</v>
      </c>
      <c r="D3" s="1">
        <v>1</v>
      </c>
      <c r="E3" s="1">
        <f>B2</f>
        <v>10</v>
      </c>
      <c r="F3" s="1">
        <v>0</v>
      </c>
      <c r="G3" s="1">
        <f>$B$6+$B$7*E3+$B$8*E3^2</f>
        <v>111</v>
      </c>
      <c r="I3" s="1" t="s">
        <v>14</v>
      </c>
      <c r="J3" s="1">
        <f>PEARSON(F3:F12,G3:G12)</f>
        <v>-0.15094377576013196</v>
      </c>
    </row>
    <row r="4" spans="1:10" x14ac:dyDescent="0.25">
      <c r="D4" s="1">
        <v>2</v>
      </c>
      <c r="E4" s="1">
        <f>E3+$B$3</f>
        <v>20</v>
      </c>
      <c r="F4" s="1">
        <v>3</v>
      </c>
      <c r="G4" s="1">
        <f t="shared" ref="G4:G12" si="0">$B$6+$B$7*E4+$B$8*E4^2</f>
        <v>421</v>
      </c>
    </row>
    <row r="5" spans="1:10" x14ac:dyDescent="0.25">
      <c r="A5" s="2" t="s">
        <v>3</v>
      </c>
      <c r="B5" s="2"/>
      <c r="D5" s="1">
        <v>3</v>
      </c>
      <c r="E5" s="1">
        <f t="shared" ref="E5:E12" si="1">E4+$B$3</f>
        <v>30</v>
      </c>
      <c r="F5" s="1">
        <v>7</v>
      </c>
      <c r="G5" s="1">
        <f t="shared" si="0"/>
        <v>931</v>
      </c>
    </row>
    <row r="6" spans="1:10" x14ac:dyDescent="0.25">
      <c r="A6" s="1" t="s">
        <v>4</v>
      </c>
      <c r="B6" s="1">
        <v>1</v>
      </c>
      <c r="D6" s="1">
        <v>4</v>
      </c>
      <c r="E6" s="1">
        <f t="shared" si="1"/>
        <v>40</v>
      </c>
      <c r="F6" s="1">
        <v>10</v>
      </c>
      <c r="G6" s="1">
        <f t="shared" si="0"/>
        <v>1641</v>
      </c>
    </row>
    <row r="7" spans="1:10" x14ac:dyDescent="0.25">
      <c r="A7" s="1" t="s">
        <v>5</v>
      </c>
      <c r="B7" s="1">
        <v>1</v>
      </c>
      <c r="D7" s="1">
        <v>5</v>
      </c>
      <c r="E7" s="1">
        <f t="shared" si="1"/>
        <v>50</v>
      </c>
      <c r="F7" s="1">
        <v>11</v>
      </c>
      <c r="G7" s="1">
        <f t="shared" si="0"/>
        <v>2551</v>
      </c>
    </row>
    <row r="8" spans="1:10" x14ac:dyDescent="0.25">
      <c r="A8" s="1" t="s">
        <v>6</v>
      </c>
      <c r="B8" s="1">
        <v>1</v>
      </c>
      <c r="D8" s="1">
        <v>6</v>
      </c>
      <c r="E8" s="1">
        <f t="shared" si="1"/>
        <v>60</v>
      </c>
      <c r="F8" s="1">
        <v>11</v>
      </c>
      <c r="G8" s="1">
        <f t="shared" si="0"/>
        <v>3661</v>
      </c>
    </row>
    <row r="9" spans="1:10" x14ac:dyDescent="0.25">
      <c r="D9" s="1">
        <v>7</v>
      </c>
      <c r="E9" s="1">
        <f t="shared" si="1"/>
        <v>70</v>
      </c>
      <c r="F9" s="1">
        <v>10</v>
      </c>
      <c r="G9" s="1">
        <f t="shared" si="0"/>
        <v>4971</v>
      </c>
    </row>
    <row r="10" spans="1:10" x14ac:dyDescent="0.25">
      <c r="D10" s="1">
        <v>8</v>
      </c>
      <c r="E10" s="1">
        <f t="shared" si="1"/>
        <v>80</v>
      </c>
      <c r="F10" s="1">
        <v>7</v>
      </c>
      <c r="G10" s="1">
        <f t="shared" si="0"/>
        <v>6481</v>
      </c>
    </row>
    <row r="11" spans="1:10" x14ac:dyDescent="0.25">
      <c r="D11" s="1">
        <v>9</v>
      </c>
      <c r="E11" s="1">
        <f t="shared" si="1"/>
        <v>90</v>
      </c>
      <c r="F11" s="1">
        <v>4</v>
      </c>
      <c r="G11" s="1">
        <f t="shared" si="0"/>
        <v>8191</v>
      </c>
    </row>
    <row r="12" spans="1:10" x14ac:dyDescent="0.25">
      <c r="D12" s="1">
        <v>10</v>
      </c>
      <c r="E12" s="1">
        <f t="shared" si="1"/>
        <v>100</v>
      </c>
      <c r="F12" s="1">
        <v>1</v>
      </c>
      <c r="G12" s="1">
        <f t="shared" si="0"/>
        <v>10101</v>
      </c>
    </row>
  </sheetData>
  <mergeCells count="4">
    <mergeCell ref="A1:B1"/>
    <mergeCell ref="A5:B5"/>
    <mergeCell ref="D1:G1"/>
    <mergeCell ref="I1:J1"/>
  </mergeCells>
  <phoneticPr fontId="1" type="noConversion"/>
  <pageMargins left="0.7" right="0.7" top="0.75" bottom="0.75" header="0.3" footer="0.3"/>
  <pageSetup paperSize="9" orientation="portrait" horizontalDpi="300" verticalDpi="0" copies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Кудлаш Иван</dc:creator>
  <cp:lastModifiedBy>Кудлаш Иван</cp:lastModifiedBy>
  <dcterms:created xsi:type="dcterms:W3CDTF">2015-06-05T18:19:34Z</dcterms:created>
  <dcterms:modified xsi:type="dcterms:W3CDTF">2026-03-27T06:15:49Z</dcterms:modified>
</cp:coreProperties>
</file>