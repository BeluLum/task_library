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S:\students\GR_89\Ермаченко Александра\Практика\День 45\"/>
    </mc:Choice>
  </mc:AlternateContent>
  <xr:revisionPtr revIDLastSave="0" documentId="8_{51C7ABDD-1D19-405F-A411-C4B9B23457CE}" xr6:coauthVersionLast="47" xr6:coauthVersionMax="47" xr10:uidLastSave="{00000000-0000-0000-0000-000000000000}"/>
  <bookViews>
    <workbookView xWindow="1965" yWindow="5925" windowWidth="21600" windowHeight="11100" firstSheet="2" activeTab="5" xr2:uid="{9521C1D6-8DA3-4AF7-B437-3F6B59DB63AC}"/>
  </bookViews>
  <sheets>
    <sheet name="Макароны" sheetId="1" r:id="rId1"/>
    <sheet name="График" sheetId="2" r:id="rId2"/>
    <sheet name="Возраст" sheetId="3" r:id="rId3"/>
    <sheet name="Показания счетчика" sheetId="4" r:id="rId4"/>
    <sheet name="Сравнить" sheetId="5" r:id="rId5"/>
    <sheet name="ЕИИ" sheetId="6" r:id="rId6"/>
  </sheets>
  <definedNames>
    <definedName name="_xlchart.v1.0" hidden="1">График!$A$2:$A$12</definedName>
    <definedName name="_xlchart.v1.1" hidden="1">График!$B$1</definedName>
    <definedName name="_xlchart.v1.2" hidden="1">График!$B$2:$B$12</definedName>
    <definedName name="_xlchart.v1.3" hidden="1">График!$A$2:$A$12</definedName>
    <definedName name="_xlchart.v1.4" hidden="1">График!$B$1</definedName>
    <definedName name="_xlchart.v1.5" hidden="1">График!$B$2:$B$12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6" l="1"/>
  <c r="E4" i="6"/>
  <c r="E5" i="6"/>
  <c r="E6" i="6"/>
  <c r="D3" i="6"/>
  <c r="D4" i="6"/>
  <c r="C3" i="6"/>
  <c r="C4" i="6"/>
  <c r="C5" i="6"/>
  <c r="D5" i="6" s="1"/>
  <c r="C6" i="6"/>
  <c r="D6" i="6" s="1"/>
  <c r="C2" i="6"/>
  <c r="D2" i="6" s="1"/>
  <c r="E2" i="6" s="1"/>
  <c r="D2" i="5"/>
  <c r="D3" i="5"/>
  <c r="D4" i="5"/>
  <c r="D5" i="5"/>
  <c r="D6" i="5"/>
  <c r="D7" i="5"/>
  <c r="D8" i="5"/>
  <c r="D9" i="5"/>
  <c r="D10" i="5"/>
  <c r="D11" i="5"/>
  <c r="D1" i="5"/>
  <c r="E3" i="4"/>
  <c r="E4" i="4"/>
  <c r="E5" i="4"/>
  <c r="E6" i="4"/>
  <c r="E7" i="4"/>
  <c r="E8" i="4"/>
  <c r="E2" i="4"/>
  <c r="D3" i="4"/>
  <c r="D4" i="4"/>
  <c r="D5" i="4"/>
  <c r="D6" i="4"/>
  <c r="D7" i="4"/>
  <c r="D8" i="4"/>
  <c r="D2" i="4"/>
  <c r="C6" i="3"/>
  <c r="C5" i="3"/>
  <c r="C4" i="3"/>
  <c r="C3" i="3"/>
  <c r="C2" i="3"/>
  <c r="B3" i="2"/>
  <c r="B4" i="2"/>
  <c r="B5" i="2"/>
  <c r="B6" i="2"/>
  <c r="B7" i="2"/>
  <c r="B8" i="2"/>
  <c r="B9" i="2"/>
  <c r="B10" i="2"/>
  <c r="B11" i="2"/>
  <c r="B12" i="2"/>
  <c r="B2" i="2"/>
  <c r="C8" i="1"/>
  <c r="D8" i="1"/>
  <c r="E8" i="1"/>
  <c r="F8" i="1"/>
  <c r="G8" i="1"/>
  <c r="B8" i="1"/>
  <c r="H3" i="1"/>
  <c r="H4" i="1"/>
  <c r="H5" i="1"/>
  <c r="H6" i="1"/>
  <c r="H7" i="1"/>
  <c r="H2" i="1"/>
  <c r="H8" i="1" l="1"/>
</calcChain>
</file>

<file path=xl/sharedStrings.xml><?xml version="1.0" encoding="utf-8"?>
<sst xmlns="http://schemas.openxmlformats.org/spreadsheetml/2006/main" count="43" uniqueCount="43">
  <si>
    <t>Продукт</t>
  </si>
  <si>
    <t>Январь</t>
  </si>
  <si>
    <t>Февраль</t>
  </si>
  <si>
    <t>Март</t>
  </si>
  <si>
    <t>Апрель</t>
  </si>
  <si>
    <t>Май</t>
  </si>
  <si>
    <t>Июнь</t>
  </si>
  <si>
    <t>Ср знач</t>
  </si>
  <si>
    <t>Лапша</t>
  </si>
  <si>
    <t>Рожки</t>
  </si>
  <si>
    <t>Ушки</t>
  </si>
  <si>
    <t>Вермишель</t>
  </si>
  <si>
    <t>Спагетти</t>
  </si>
  <si>
    <t>Ракушки</t>
  </si>
  <si>
    <t>Сумма</t>
  </si>
  <si>
    <t>x</t>
  </si>
  <si>
    <t>y</t>
  </si>
  <si>
    <t>Год рождения</t>
  </si>
  <si>
    <t>Текущий год</t>
  </si>
  <si>
    <t>Возраст</t>
  </si>
  <si>
    <t>Квартира</t>
  </si>
  <si>
    <t>Показания счетчика в текущий месяц</t>
  </si>
  <si>
    <t>Разгод эл.энергии</t>
  </si>
  <si>
    <t>Стоимость эл.энергии</t>
  </si>
  <si>
    <t>Показание счетчика в пердыдущий месяц</t>
  </si>
  <si>
    <t>Кв. 1</t>
  </si>
  <si>
    <t>Кв. 3</t>
  </si>
  <si>
    <t>Кв. 4</t>
  </si>
  <si>
    <t>Кв. 5</t>
  </si>
  <si>
    <t>Кв. 6</t>
  </si>
  <si>
    <t>Кв. 7</t>
  </si>
  <si>
    <t>Кв. 2</t>
  </si>
  <si>
    <t>Стоимость 1кВт</t>
  </si>
  <si>
    <t>Носитель информации</t>
  </si>
  <si>
    <t>Дискета</t>
  </si>
  <si>
    <t>CD-диск</t>
  </si>
  <si>
    <t>DVD-диск</t>
  </si>
  <si>
    <t>flash-диск</t>
  </si>
  <si>
    <t>Жетский диск</t>
  </si>
  <si>
    <t>Обьем, байт</t>
  </si>
  <si>
    <t>Обьем, Кбайт</t>
  </si>
  <si>
    <t>Обьем, Мбайт</t>
  </si>
  <si>
    <t>Обьем,Гбайт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</si>
</sst>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1" fillId="4" borderId="1" xfId="0" applyFont="1" applyFill="1" applyBorder="1" applyAlignment="1">
      <alignment horizontal="center" vertical="center"/>
    </xf>
    <xf numFmtId="0" fontId="0" fillId="5" borderId="1" xfId="0" applyFill="1" applyBorder="1"/>
    <xf numFmtId="0" fontId="1" fillId="6" borderId="1" xfId="0" applyFont="1" applyFill="1" applyBorder="1"/>
    <xf numFmtId="0" fontId="1" fillId="7" borderId="1" xfId="0" applyFont="1" applyFill="1" applyBorder="1" applyAlignment="1">
      <alignment horizontal="center"/>
    </xf>
    <xf numFmtId="0" fontId="1" fillId="7" borderId="1" xfId="0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График!$B$1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График!$A$2:$A$12</c:f>
              <c:numCache>
                <c:formatCode>General</c:formatCode>
                <c:ptCount val="11"/>
                <c:pt idx="0">
                  <c:v>-5</c:v>
                </c:pt>
                <c:pt idx="1">
                  <c:v>-4</c:v>
                </c:pt>
                <c:pt idx="2">
                  <c:v>-3</c:v>
                </c:pt>
                <c:pt idx="3">
                  <c:v>-2</c:v>
                </c:pt>
                <c:pt idx="4">
                  <c:v>-1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4</c:v>
                </c:pt>
                <c:pt idx="10">
                  <c:v>5</c:v>
                </c:pt>
              </c:numCache>
            </c:numRef>
          </c:xVal>
          <c:yVal>
            <c:numRef>
              <c:f>График!$B$2:$B$12</c:f>
              <c:numCache>
                <c:formatCode>General</c:formatCode>
                <c:ptCount val="11"/>
                <c:pt idx="0">
                  <c:v>-2</c:v>
                </c:pt>
                <c:pt idx="1">
                  <c:v>-1</c:v>
                </c:pt>
                <c:pt idx="2">
                  <c:v>0</c:v>
                </c:pt>
                <c:pt idx="3">
                  <c:v>1</c:v>
                </c:pt>
                <c:pt idx="4">
                  <c:v>2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6</c:v>
                </c:pt>
                <c:pt idx="9">
                  <c:v>7</c:v>
                </c:pt>
                <c:pt idx="10">
                  <c:v>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3CF-4A09-B31E-F5FAF79427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9979135"/>
        <c:axId val="1439988703"/>
      </c:scatterChart>
      <c:valAx>
        <c:axId val="14399791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39988703"/>
        <c:crosses val="autoZero"/>
        <c:crossBetween val="midCat"/>
      </c:valAx>
      <c:valAx>
        <c:axId val="1439988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399791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133350</xdr:colOff>
      <xdr:row>12</xdr:row>
      <xdr:rowOff>52387</xdr:rowOff>
    </xdr:from>
    <xdr:to>
      <xdr:col>7</xdr:col>
      <xdr:colOff>438150</xdr:colOff>
      <xdr:row>26</xdr:row>
      <xdr:rowOff>128587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C4E9D025-82E9-4783-9022-3E2B49CB08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0E3CF-8B20-4150-A9F5-B69D4E336906}">
  <dimension ref="A1:H8"/>
  <sheetViews>
    <sheetView workbookViewId="0">
      <selection activeCell="H13" sqref="H13"/>
    </sheetView>
  </sheetViews>
  <sheetFormatPr defaultRowHeight="15" x14ac:dyDescent="0.25"/>
  <cols>
    <col min="1" max="1" width="10.85546875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3" t="s">
        <v>8</v>
      </c>
      <c r="B2" s="3">
        <v>2500</v>
      </c>
      <c r="C2" s="3">
        <v>2800</v>
      </c>
      <c r="D2" s="3">
        <v>2900</v>
      </c>
      <c r="E2" s="3">
        <v>2450</v>
      </c>
      <c r="F2" s="3">
        <v>2300</v>
      </c>
      <c r="G2" s="3">
        <v>2400</v>
      </c>
      <c r="H2" s="4">
        <f>AVERAGE(B2:G2)</f>
        <v>2558.3333333333335</v>
      </c>
    </row>
    <row r="3" spans="1:8" x14ac:dyDescent="0.25">
      <c r="A3" s="3" t="s">
        <v>9</v>
      </c>
      <c r="B3" s="3">
        <v>1300</v>
      </c>
      <c r="C3" s="3">
        <v>1450</v>
      </c>
      <c r="D3" s="3">
        <v>1234</v>
      </c>
      <c r="E3" s="3">
        <v>1359</v>
      </c>
      <c r="F3" s="3">
        <v>1225</v>
      </c>
      <c r="G3" s="3">
        <v>1400</v>
      </c>
      <c r="H3" s="4">
        <f t="shared" ref="H3:H8" si="0">AVERAGE(B3:G3)</f>
        <v>1328</v>
      </c>
    </row>
    <row r="4" spans="1:8" x14ac:dyDescent="0.25">
      <c r="A4" s="3" t="s">
        <v>10</v>
      </c>
      <c r="B4" s="3">
        <v>2345</v>
      </c>
      <c r="C4" s="3">
        <v>2432</v>
      </c>
      <c r="D4" s="3">
        <v>2400</v>
      </c>
      <c r="E4" s="3">
        <v>2466</v>
      </c>
      <c r="F4" s="3">
        <v>2390</v>
      </c>
      <c r="G4" s="3">
        <v>2300</v>
      </c>
      <c r="H4" s="4">
        <f t="shared" si="0"/>
        <v>2388.8333333333335</v>
      </c>
    </row>
    <row r="5" spans="1:8" x14ac:dyDescent="0.25">
      <c r="A5" s="3" t="s">
        <v>11</v>
      </c>
      <c r="B5" s="3">
        <v>3000</v>
      </c>
      <c r="C5" s="3">
        <v>3245</v>
      </c>
      <c r="D5" s="3">
        <v>3111</v>
      </c>
      <c r="E5" s="3">
        <v>3100</v>
      </c>
      <c r="F5" s="3">
        <v>3222</v>
      </c>
      <c r="G5" s="3">
        <v>3199</v>
      </c>
      <c r="H5" s="4">
        <f t="shared" si="0"/>
        <v>3146.1666666666665</v>
      </c>
    </row>
    <row r="6" spans="1:8" x14ac:dyDescent="0.25">
      <c r="A6" s="3" t="s">
        <v>12</v>
      </c>
      <c r="B6" s="3">
        <v>2000</v>
      </c>
      <c r="C6" s="3">
        <v>2100</v>
      </c>
      <c r="D6" s="3">
        <v>2150</v>
      </c>
      <c r="E6" s="3">
        <v>2100</v>
      </c>
      <c r="F6" s="3">
        <v>2123</v>
      </c>
      <c r="G6" s="3">
        <v>2123</v>
      </c>
      <c r="H6" s="4">
        <f t="shared" si="0"/>
        <v>2099.3333333333335</v>
      </c>
    </row>
    <row r="7" spans="1:8" x14ac:dyDescent="0.25">
      <c r="A7" s="3" t="s">
        <v>13</v>
      </c>
      <c r="B7" s="3">
        <v>3000</v>
      </c>
      <c r="C7" s="3">
        <v>3211</v>
      </c>
      <c r="D7" s="3">
        <v>31111</v>
      </c>
      <c r="E7" s="3">
        <v>2900</v>
      </c>
      <c r="F7" s="3">
        <v>2980</v>
      </c>
      <c r="G7" s="3">
        <v>3100</v>
      </c>
      <c r="H7" s="4">
        <f t="shared" si="0"/>
        <v>7717</v>
      </c>
    </row>
    <row r="8" spans="1:8" x14ac:dyDescent="0.25">
      <c r="A8" s="4" t="s">
        <v>14</v>
      </c>
      <c r="B8" s="4">
        <f xml:space="preserve"> SUM(B2:B7)</f>
        <v>14145</v>
      </c>
      <c r="C8" s="4">
        <f t="shared" ref="C8:G8" si="1" xml:space="preserve"> SUM(C2:C7)</f>
        <v>15238</v>
      </c>
      <c r="D8" s="4">
        <f t="shared" si="1"/>
        <v>42906</v>
      </c>
      <c r="E8" s="4">
        <f t="shared" si="1"/>
        <v>14375</v>
      </c>
      <c r="F8" s="4">
        <f t="shared" si="1"/>
        <v>14240</v>
      </c>
      <c r="G8" s="4">
        <f t="shared" si="1"/>
        <v>14522</v>
      </c>
      <c r="H8" s="4">
        <f t="shared" si="0"/>
        <v>19237.666666666668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C0DE8-5E16-4001-BDA2-880930433EB8}">
  <dimension ref="A1:B12"/>
  <sheetViews>
    <sheetView workbookViewId="0">
      <selection sqref="A1:B12"/>
    </sheetView>
  </sheetViews>
  <sheetFormatPr defaultRowHeight="15" x14ac:dyDescent="0.25"/>
  <sheetData>
    <row r="1" spans="1:2" x14ac:dyDescent="0.25">
      <c r="A1" s="2" t="s">
        <v>15</v>
      </c>
      <c r="B1" s="4" t="s">
        <v>16</v>
      </c>
    </row>
    <row r="2" spans="1:2" x14ac:dyDescent="0.25">
      <c r="A2" s="2">
        <v>-5</v>
      </c>
      <c r="B2" s="4">
        <f>A2+3</f>
        <v>-2</v>
      </c>
    </row>
    <row r="3" spans="1:2" x14ac:dyDescent="0.25">
      <c r="A3" s="2">
        <v>-4</v>
      </c>
      <c r="B3" s="4">
        <f t="shared" ref="B3:B12" si="0">A3+3</f>
        <v>-1</v>
      </c>
    </row>
    <row r="4" spans="1:2" x14ac:dyDescent="0.25">
      <c r="A4" s="2">
        <v>-3</v>
      </c>
      <c r="B4" s="4">
        <f t="shared" si="0"/>
        <v>0</v>
      </c>
    </row>
    <row r="5" spans="1:2" x14ac:dyDescent="0.25">
      <c r="A5" s="2">
        <v>-2</v>
      </c>
      <c r="B5" s="4">
        <f t="shared" si="0"/>
        <v>1</v>
      </c>
    </row>
    <row r="6" spans="1:2" x14ac:dyDescent="0.25">
      <c r="A6" s="2">
        <v>-1</v>
      </c>
      <c r="B6" s="4">
        <f t="shared" si="0"/>
        <v>2</v>
      </c>
    </row>
    <row r="7" spans="1:2" x14ac:dyDescent="0.25">
      <c r="A7" s="2">
        <v>0</v>
      </c>
      <c r="B7" s="4">
        <f t="shared" si="0"/>
        <v>3</v>
      </c>
    </row>
    <row r="8" spans="1:2" x14ac:dyDescent="0.25">
      <c r="A8" s="2">
        <v>1</v>
      </c>
      <c r="B8" s="4">
        <f t="shared" si="0"/>
        <v>4</v>
      </c>
    </row>
    <row r="9" spans="1:2" x14ac:dyDescent="0.25">
      <c r="A9" s="2">
        <v>2</v>
      </c>
      <c r="B9" s="4">
        <f t="shared" si="0"/>
        <v>5</v>
      </c>
    </row>
    <row r="10" spans="1:2" x14ac:dyDescent="0.25">
      <c r="A10" s="2">
        <v>3</v>
      </c>
      <c r="B10" s="4">
        <f t="shared" si="0"/>
        <v>6</v>
      </c>
    </row>
    <row r="11" spans="1:2" x14ac:dyDescent="0.25">
      <c r="A11" s="2">
        <v>4</v>
      </c>
      <c r="B11" s="4">
        <f t="shared" si="0"/>
        <v>7</v>
      </c>
    </row>
    <row r="12" spans="1:2" x14ac:dyDescent="0.25">
      <c r="A12" s="2">
        <v>5</v>
      </c>
      <c r="B12" s="4">
        <f t="shared" si="0"/>
        <v>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50223-B879-4B28-A4DB-06622B7EFBA5}">
  <dimension ref="A1:C6"/>
  <sheetViews>
    <sheetView workbookViewId="0">
      <selection activeCell="F13" sqref="F13"/>
    </sheetView>
  </sheetViews>
  <sheetFormatPr defaultRowHeight="15" x14ac:dyDescent="0.25"/>
  <cols>
    <col min="1" max="1" width="17.140625" customWidth="1"/>
    <col min="2" max="2" width="15.85546875" customWidth="1"/>
  </cols>
  <sheetData>
    <row r="1" spans="1:3" x14ac:dyDescent="0.25">
      <c r="A1" s="1" t="s">
        <v>17</v>
      </c>
      <c r="B1" s="1" t="s">
        <v>18</v>
      </c>
      <c r="C1" s="1" t="s">
        <v>19</v>
      </c>
    </row>
    <row r="2" spans="1:3" x14ac:dyDescent="0.25">
      <c r="A2" s="1">
        <v>2009</v>
      </c>
      <c r="B2" s="1">
        <v>2026</v>
      </c>
      <c r="C2" s="1">
        <f>B2-A2</f>
        <v>17</v>
      </c>
    </row>
    <row r="3" spans="1:3" x14ac:dyDescent="0.25">
      <c r="A3" s="1"/>
      <c r="B3" s="1">
        <v>2027</v>
      </c>
      <c r="C3" s="1">
        <f>B3-A2</f>
        <v>18</v>
      </c>
    </row>
    <row r="4" spans="1:3" x14ac:dyDescent="0.25">
      <c r="A4" s="1"/>
      <c r="B4" s="1">
        <v>2028</v>
      </c>
      <c r="C4" s="1">
        <f>B4-A2</f>
        <v>19</v>
      </c>
    </row>
    <row r="5" spans="1:3" x14ac:dyDescent="0.25">
      <c r="A5" s="1"/>
      <c r="B5" s="1">
        <v>2029</v>
      </c>
      <c r="C5" s="1">
        <f>B5-A2</f>
        <v>20</v>
      </c>
    </row>
    <row r="6" spans="1:3" x14ac:dyDescent="0.25">
      <c r="A6" s="1"/>
      <c r="B6" s="1">
        <v>2030</v>
      </c>
      <c r="C6" s="1">
        <f>B6-A2</f>
        <v>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B0E79-9A89-4B1D-8DA5-FBABB43B61F7}">
  <dimension ref="A1:E10"/>
  <sheetViews>
    <sheetView topLeftCell="B1" workbookViewId="0">
      <selection activeCell="D13" sqref="D13"/>
    </sheetView>
  </sheetViews>
  <sheetFormatPr defaultRowHeight="15" x14ac:dyDescent="0.25"/>
  <cols>
    <col min="1" max="1" width="28" customWidth="1"/>
    <col min="2" max="2" width="30.42578125" customWidth="1"/>
    <col min="3" max="3" width="26.140625" customWidth="1"/>
    <col min="4" max="4" width="24.28515625" customWidth="1"/>
    <col min="5" max="5" width="23.5703125" customWidth="1"/>
  </cols>
  <sheetData>
    <row r="1" spans="1:5" ht="70.5" customHeight="1" x14ac:dyDescent="0.25">
      <c r="A1" s="5" t="s">
        <v>20</v>
      </c>
      <c r="B1" s="5" t="s">
        <v>24</v>
      </c>
      <c r="C1" s="5" t="s">
        <v>21</v>
      </c>
      <c r="D1" s="5" t="s">
        <v>22</v>
      </c>
      <c r="E1" s="5" t="s">
        <v>23</v>
      </c>
    </row>
    <row r="2" spans="1:5" x14ac:dyDescent="0.25">
      <c r="A2" s="1" t="s">
        <v>25</v>
      </c>
      <c r="B2" s="1">
        <v>190</v>
      </c>
      <c r="C2" s="1">
        <v>220</v>
      </c>
      <c r="D2" s="1">
        <f>C4-B4</f>
        <v>32</v>
      </c>
      <c r="E2" s="1">
        <f>D4*$B$10</f>
        <v>4.05</v>
      </c>
    </row>
    <row r="3" spans="1:5" x14ac:dyDescent="0.25">
      <c r="A3" s="1" t="s">
        <v>31</v>
      </c>
      <c r="B3" s="1">
        <v>157</v>
      </c>
      <c r="C3" s="1">
        <v>189</v>
      </c>
      <c r="D3" s="1">
        <f t="shared" ref="D3:D8" si="0">C5-B5</f>
        <v>38</v>
      </c>
      <c r="E3" s="1">
        <f t="shared" ref="E3:E8" si="1">D5*$B$10</f>
        <v>3.15</v>
      </c>
    </row>
    <row r="4" spans="1:5" x14ac:dyDescent="0.25">
      <c r="A4" s="1" t="s">
        <v>26</v>
      </c>
      <c r="B4" s="1">
        <v>213</v>
      </c>
      <c r="C4" s="1">
        <v>245</v>
      </c>
      <c r="D4" s="1">
        <f t="shared" si="0"/>
        <v>27</v>
      </c>
      <c r="E4" s="1">
        <f t="shared" si="1"/>
        <v>4.2</v>
      </c>
    </row>
    <row r="5" spans="1:5" x14ac:dyDescent="0.25">
      <c r="A5" s="1" t="s">
        <v>27</v>
      </c>
      <c r="B5" s="1">
        <v>94</v>
      </c>
      <c r="C5" s="1">
        <v>132</v>
      </c>
      <c r="D5" s="1">
        <f t="shared" si="0"/>
        <v>21</v>
      </c>
      <c r="E5" s="1">
        <f t="shared" si="1"/>
        <v>0</v>
      </c>
    </row>
    <row r="6" spans="1:5" x14ac:dyDescent="0.25">
      <c r="A6" s="1" t="s">
        <v>28</v>
      </c>
      <c r="B6" s="1">
        <v>152</v>
      </c>
      <c r="C6" s="1">
        <v>179</v>
      </c>
      <c r="D6" s="1">
        <f t="shared" si="0"/>
        <v>28</v>
      </c>
      <c r="E6" s="1">
        <f t="shared" si="1"/>
        <v>-2.2499999999999999E-2</v>
      </c>
    </row>
    <row r="7" spans="1:5" x14ac:dyDescent="0.25">
      <c r="A7" s="1" t="s">
        <v>29</v>
      </c>
      <c r="B7" s="1">
        <v>148</v>
      </c>
      <c r="C7" s="1">
        <v>169</v>
      </c>
      <c r="D7" s="1">
        <f t="shared" si="0"/>
        <v>0</v>
      </c>
      <c r="E7" s="1">
        <f t="shared" si="1"/>
        <v>0</v>
      </c>
    </row>
    <row r="8" spans="1:5" x14ac:dyDescent="0.25">
      <c r="A8" s="1" t="s">
        <v>30</v>
      </c>
      <c r="B8" s="1">
        <v>165</v>
      </c>
      <c r="C8" s="1">
        <v>193</v>
      </c>
      <c r="D8" s="1">
        <f t="shared" si="0"/>
        <v>-0.15</v>
      </c>
      <c r="E8" s="1">
        <f t="shared" si="1"/>
        <v>0</v>
      </c>
    </row>
    <row r="10" spans="1:5" x14ac:dyDescent="0.25">
      <c r="A10" s="1" t="s">
        <v>32</v>
      </c>
      <c r="B10" s="6">
        <v>0.15</v>
      </c>
    </row>
  </sheetData>
  <pageMargins left="0.7" right="0.7" top="0.75" bottom="0.75" header="0.3" footer="0.3"/>
  <pageSetup paperSize="9" orientation="portrait" horizontalDpi="300" verticalDpi="0" copies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B5F8D-F6FB-4FEE-BD76-C8B7BCD7E44F}">
  <dimension ref="A1:D11"/>
  <sheetViews>
    <sheetView workbookViewId="0">
      <selection activeCell="E9" sqref="E9"/>
    </sheetView>
  </sheetViews>
  <sheetFormatPr defaultRowHeight="15" x14ac:dyDescent="0.25"/>
  <cols>
    <col min="4" max="4" width="15.7109375" customWidth="1"/>
  </cols>
  <sheetData>
    <row r="1" spans="1:4" x14ac:dyDescent="0.25">
      <c r="A1" s="1">
        <v>4</v>
      </c>
      <c r="B1" s="1">
        <v>5</v>
      </c>
      <c r="C1" s="1"/>
      <c r="D1" t="str">
        <f>IF(A1 &gt; B1, "А больше В", "А меньше В")</f>
        <v>А меньше В</v>
      </c>
    </row>
    <row r="2" spans="1:4" x14ac:dyDescent="0.25">
      <c r="A2" s="1">
        <v>333</v>
      </c>
      <c r="B2" s="1">
        <v>446</v>
      </c>
      <c r="C2" s="1"/>
      <c r="D2" t="str">
        <f t="shared" ref="D2:D11" si="0">IF(A2 &gt; B2, "А больше В", "А меньше В")</f>
        <v>А меньше В</v>
      </c>
    </row>
    <row r="3" spans="1:4" x14ac:dyDescent="0.25">
      <c r="A3" s="1">
        <v>4343</v>
      </c>
      <c r="B3" s="1">
        <v>5432</v>
      </c>
      <c r="C3" s="1"/>
      <c r="D3" t="str">
        <f t="shared" si="0"/>
        <v>А меньше В</v>
      </c>
    </row>
    <row r="4" spans="1:4" x14ac:dyDescent="0.25">
      <c r="A4" s="1">
        <v>343</v>
      </c>
      <c r="B4" s="1">
        <v>34</v>
      </c>
      <c r="C4" s="1"/>
      <c r="D4" t="str">
        <f t="shared" si="0"/>
        <v>А больше В</v>
      </c>
    </row>
    <row r="5" spans="1:4" x14ac:dyDescent="0.25">
      <c r="A5" s="1">
        <v>5675</v>
      </c>
      <c r="B5" s="1">
        <v>3434</v>
      </c>
      <c r="C5" s="1"/>
      <c r="D5" t="str">
        <f t="shared" si="0"/>
        <v>А больше В</v>
      </c>
    </row>
    <row r="6" spans="1:4" x14ac:dyDescent="0.25">
      <c r="A6" s="1">
        <v>757</v>
      </c>
      <c r="B6" s="1">
        <v>4567</v>
      </c>
      <c r="C6" s="1"/>
      <c r="D6" t="str">
        <f t="shared" si="0"/>
        <v>А меньше В</v>
      </c>
    </row>
    <row r="7" spans="1:4" x14ac:dyDescent="0.25">
      <c r="A7" s="1">
        <v>8767</v>
      </c>
      <c r="B7" s="1">
        <v>3456</v>
      </c>
      <c r="C7" s="1"/>
      <c r="D7" t="str">
        <f t="shared" si="0"/>
        <v>А больше В</v>
      </c>
    </row>
    <row r="8" spans="1:4" x14ac:dyDescent="0.25">
      <c r="A8" s="1">
        <v>8767</v>
      </c>
      <c r="B8" s="1">
        <v>97654</v>
      </c>
      <c r="C8" s="1"/>
      <c r="D8" t="str">
        <f t="shared" si="0"/>
        <v>А меньше В</v>
      </c>
    </row>
    <row r="9" spans="1:4" x14ac:dyDescent="0.25">
      <c r="A9" s="1">
        <v>868</v>
      </c>
      <c r="B9" s="1">
        <v>565</v>
      </c>
      <c r="C9" s="1"/>
      <c r="D9" t="str">
        <f t="shared" si="0"/>
        <v>А больше В</v>
      </c>
    </row>
    <row r="10" spans="1:4" x14ac:dyDescent="0.25">
      <c r="A10" s="1">
        <v>576</v>
      </c>
      <c r="B10" s="1">
        <v>435</v>
      </c>
      <c r="C10" s="1"/>
      <c r="D10" t="str">
        <f t="shared" si="0"/>
        <v>А больше В</v>
      </c>
    </row>
    <row r="11" spans="1:4" x14ac:dyDescent="0.25">
      <c r="A11" s="1">
        <v>767</v>
      </c>
      <c r="B11" s="1">
        <v>8754</v>
      </c>
      <c r="C11" s="1"/>
      <c r="D11" t="str">
        <f t="shared" si="0"/>
        <v>А меньше В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3C94B-0FF2-4CB8-9890-AE599F38AFB0}">
  <dimension ref="A1:E6"/>
  <sheetViews>
    <sheetView tabSelected="1" workbookViewId="0">
      <selection activeCell="D15" sqref="D15"/>
    </sheetView>
  </sheetViews>
  <sheetFormatPr defaultRowHeight="15" x14ac:dyDescent="0.25"/>
  <cols>
    <col min="1" max="1" width="29.42578125" customWidth="1"/>
    <col min="2" max="2" width="15.5703125" customWidth="1"/>
    <col min="3" max="3" width="19" customWidth="1"/>
    <col min="4" max="4" width="22.42578125" customWidth="1"/>
    <col min="5" max="5" width="20.28515625" customWidth="1"/>
  </cols>
  <sheetData>
    <row r="1" spans="1:5" x14ac:dyDescent="0.25">
      <c r="A1" s="7" t="s">
        <v>33</v>
      </c>
      <c r="B1" s="7" t="s">
        <v>39</v>
      </c>
      <c r="C1" s="7" t="s">
        <v>40</v>
      </c>
      <c r="D1" s="7" t="s">
        <v>41</v>
      </c>
      <c r="E1" s="7" t="s">
        <v>42</v>
      </c>
    </row>
    <row r="2" spans="1:5" x14ac:dyDescent="0.25">
      <c r="A2" s="8" t="s">
        <v>34</v>
      </c>
      <c r="B2" s="8">
        <v>1509949.4399999999</v>
      </c>
      <c r="C2" s="9">
        <f>B2/1024</f>
        <v>1474.56</v>
      </c>
      <c r="D2" s="9">
        <f>C2/1024</f>
        <v>1.44</v>
      </c>
      <c r="E2" s="9">
        <f>D2/1024</f>
        <v>1.4062499999999999E-3</v>
      </c>
    </row>
    <row r="3" spans="1:5" x14ac:dyDescent="0.25">
      <c r="A3" s="8" t="s">
        <v>35</v>
      </c>
      <c r="B3" s="8">
        <v>734003200</v>
      </c>
      <c r="C3" s="9">
        <f t="shared" ref="C3:E6" si="0">B3/1024</f>
        <v>716800</v>
      </c>
      <c r="D3" s="9">
        <f t="shared" si="0"/>
        <v>700</v>
      </c>
      <c r="E3" s="9">
        <f t="shared" si="0"/>
        <v>0.68359375</v>
      </c>
    </row>
    <row r="4" spans="1:5" x14ac:dyDescent="0.25">
      <c r="A4" s="8" t="s">
        <v>36</v>
      </c>
      <c r="B4" s="8">
        <v>4928307200</v>
      </c>
      <c r="C4" s="9">
        <f t="shared" si="0"/>
        <v>4812800</v>
      </c>
      <c r="D4" s="9">
        <f t="shared" si="0"/>
        <v>4700</v>
      </c>
      <c r="E4" s="9">
        <f t="shared" si="0"/>
        <v>4.58984375</v>
      </c>
    </row>
    <row r="5" spans="1:5" x14ac:dyDescent="0.25">
      <c r="A5" s="8" t="s">
        <v>37</v>
      </c>
      <c r="B5" s="8">
        <v>2147483648</v>
      </c>
      <c r="C5" s="9">
        <f t="shared" si="0"/>
        <v>2097152</v>
      </c>
      <c r="D5" s="9">
        <f t="shared" si="0"/>
        <v>2048</v>
      </c>
      <c r="E5" s="9">
        <f t="shared" si="0"/>
        <v>2</v>
      </c>
    </row>
    <row r="6" spans="1:5" x14ac:dyDescent="0.25">
      <c r="A6" s="8" t="s">
        <v>38</v>
      </c>
      <c r="B6" s="8">
        <v>49283072000</v>
      </c>
      <c r="C6" s="9">
        <f t="shared" si="0"/>
        <v>48128000</v>
      </c>
      <c r="D6" s="9">
        <f t="shared" si="0"/>
        <v>47000</v>
      </c>
      <c r="E6" s="9">
        <f t="shared" si="0"/>
        <v>45.8984375</v>
      </c>
    </row>
  </sheetData>
  <pageMargins left="0.7" right="0.7" top="0.75" bottom="0.75" header="0.3" footer="0.3"/>
  <pageSetup paperSize="9" orientation="portrait" horizontalDpi="300" verticalDpi="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Макароны</vt:lpstr>
      <vt:lpstr>График</vt:lpstr>
      <vt:lpstr>Возраст</vt:lpstr>
      <vt:lpstr>Показания счетчика</vt:lpstr>
      <vt:lpstr>Сравнить</vt:lpstr>
      <vt:lpstr>ЕИИ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Ермаченко Александра</dc:creator>
  <cp:lastModifiedBy>Ермаченко Александра</cp:lastModifiedBy>
  <dcterms:created xsi:type="dcterms:W3CDTF">2026-05-02T08:46:09Z</dcterms:created>
  <dcterms:modified xsi:type="dcterms:W3CDTF">2026-05-02T09:12:58Z</dcterms:modified>
</cp:coreProperties>
</file>