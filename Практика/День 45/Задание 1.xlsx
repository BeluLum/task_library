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5\"/>
    </mc:Choice>
  </mc:AlternateContent>
  <xr:revisionPtr revIDLastSave="0" documentId="8_{6B5D21D2-2B8F-453F-8AFF-E4BE0B79593A}" xr6:coauthVersionLast="47" xr6:coauthVersionMax="47" xr10:uidLastSave="{00000000-0000-0000-0000-000000000000}"/>
  <bookViews>
    <workbookView xWindow="1515" yWindow="1515" windowWidth="21600" windowHeight="11100" firstSheet="2" activeTab="6" xr2:uid="{3D7D4D0B-61A6-458C-A01B-E5164105F1AB}"/>
  </bookViews>
  <sheets>
    <sheet name="Сахар" sheetId="1" r:id="rId1"/>
    <sheet name="Деревья" sheetId="2" r:id="rId2"/>
    <sheet name="Доллар" sheetId="3" r:id="rId3"/>
    <sheet name="Рост" sheetId="4" r:id="rId4"/>
    <sheet name="Цирк" sheetId="5" r:id="rId5"/>
    <sheet name="Ресторан" sheetId="6" r:id="rId6"/>
    <sheet name="Оптимальный вес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D3" i="7"/>
  <c r="D4" i="7"/>
  <c r="D5" i="7"/>
  <c r="D6" i="7"/>
  <c r="D2" i="7"/>
  <c r="E2" i="7" s="1"/>
  <c r="B8" i="6"/>
  <c r="B7" i="6"/>
  <c r="B6" i="6"/>
  <c r="B5" i="6"/>
  <c r="B4" i="6"/>
  <c r="B3" i="6"/>
  <c r="B15" i="5"/>
  <c r="B9" i="4"/>
  <c r="C3" i="3"/>
  <c r="C4" i="3"/>
  <c r="C5" i="3"/>
  <c r="C6" i="3"/>
  <c r="C2" i="3"/>
  <c r="C2" i="2"/>
  <c r="C2" i="1"/>
</calcChain>
</file>

<file path=xl/sharedStrings.xml><?xml version="1.0" encoding="utf-8"?>
<sst xmlns="http://schemas.openxmlformats.org/spreadsheetml/2006/main" count="53" uniqueCount="50">
  <si>
    <t>Кол-во сахарного тростника(тонн)</t>
  </si>
  <si>
    <t>Содержание сахара(процент)</t>
  </si>
  <si>
    <t>Сколько сахара?</t>
  </si>
  <si>
    <t>Кол-во деревьев</t>
  </si>
  <si>
    <t>Выполнили план(процент)</t>
  </si>
  <si>
    <t>Сколько деревьев?</t>
  </si>
  <si>
    <t>Курс доллара</t>
  </si>
  <si>
    <t>Доллары</t>
  </si>
  <si>
    <t>Рубли</t>
  </si>
  <si>
    <t>Фамилия</t>
  </si>
  <si>
    <t>Имя</t>
  </si>
  <si>
    <t>Рост(см)</t>
  </si>
  <si>
    <t>Иван</t>
  </si>
  <si>
    <t>Василий</t>
  </si>
  <si>
    <t>Петр</t>
  </si>
  <si>
    <t>Михаил</t>
  </si>
  <si>
    <t>Александр</t>
  </si>
  <si>
    <t>Иванов</t>
  </si>
  <si>
    <t>Петров</t>
  </si>
  <si>
    <t>Сидоров</t>
  </si>
  <si>
    <t>Смирнов</t>
  </si>
  <si>
    <t>Васин</t>
  </si>
  <si>
    <t>Средний рост:</t>
  </si>
  <si>
    <t>День недели</t>
  </si>
  <si>
    <t>Кол-во проданных билетов</t>
  </si>
  <si>
    <t>Цена</t>
  </si>
  <si>
    <t>Понедельник</t>
  </si>
  <si>
    <t>Вторник</t>
  </si>
  <si>
    <t>Среда</t>
  </si>
  <si>
    <t>Четверг</t>
  </si>
  <si>
    <t>Пятница</t>
  </si>
  <si>
    <t>Суббота</t>
  </si>
  <si>
    <t>Всокресеенье</t>
  </si>
  <si>
    <t>Выручка за неделю</t>
  </si>
  <si>
    <t>Работники</t>
  </si>
  <si>
    <t>Зарплата (В долларах)</t>
  </si>
  <si>
    <t>Мойщик посуды</t>
  </si>
  <si>
    <t>Официант</t>
  </si>
  <si>
    <t>Повар</t>
  </si>
  <si>
    <t>Шеф-повар</t>
  </si>
  <si>
    <t>Завхоз</t>
  </si>
  <si>
    <t>Метрдотель</t>
  </si>
  <si>
    <t>Управляющий</t>
  </si>
  <si>
    <t>ФИO</t>
  </si>
  <si>
    <t>Веc, кг</t>
  </si>
  <si>
    <t>Рост , см</t>
  </si>
  <si>
    <t>Оптимальный вес</t>
  </si>
  <si>
    <t xml:space="preserve">Лишний вес </t>
  </si>
  <si>
    <t>Кошкин</t>
  </si>
  <si>
    <t>Мышкин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</si>
</sst>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Рост!$C$1</c:f>
              <c:strCache>
                <c:ptCount val="1"/>
                <c:pt idx="0">
                  <c:v>Рост(см)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Рост!$C$2:$C$6</c:f>
              <c:numCache>
                <c:formatCode>General</c:formatCode>
                <c:ptCount val="5"/>
                <c:pt idx="0">
                  <c:v>155</c:v>
                </c:pt>
                <c:pt idx="1">
                  <c:v>160</c:v>
                </c:pt>
                <c:pt idx="2">
                  <c:v>148</c:v>
                </c:pt>
                <c:pt idx="3">
                  <c:v>153</c:v>
                </c:pt>
                <c:pt idx="4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1-4D62-824F-92F543DA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116783"/>
        <c:axId val="993117199"/>
      </c:barChart>
      <c:catAx>
        <c:axId val="99311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3117199"/>
        <c:crosses val="autoZero"/>
        <c:auto val="1"/>
        <c:lblAlgn val="ctr"/>
        <c:lblOffset val="100"/>
        <c:noMultiLvlLbl val="0"/>
      </c:catAx>
      <c:valAx>
        <c:axId val="99311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311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Цирк!$B$7</c:f>
              <c:strCache>
                <c:ptCount val="1"/>
                <c:pt idx="0">
                  <c:v>Кол-во проданных билетов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Цирк!$B$8:$B$14</c:f>
              <c:numCache>
                <c:formatCode>General</c:formatCode>
                <c:ptCount val="7"/>
                <c:pt idx="0">
                  <c:v>150</c:v>
                </c:pt>
                <c:pt idx="1">
                  <c:v>165</c:v>
                </c:pt>
                <c:pt idx="2">
                  <c:v>200</c:v>
                </c:pt>
                <c:pt idx="3">
                  <c:v>233</c:v>
                </c:pt>
                <c:pt idx="4">
                  <c:v>300</c:v>
                </c:pt>
                <c:pt idx="5">
                  <c:v>400</c:v>
                </c:pt>
                <c:pt idx="6">
                  <c:v>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0-41C9-88D4-601D8C65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473599"/>
        <c:axId val="1413473183"/>
      </c:lineChart>
      <c:catAx>
        <c:axId val="141347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3473183"/>
        <c:crosses val="autoZero"/>
        <c:auto val="1"/>
        <c:lblAlgn val="ctr"/>
        <c:lblOffset val="100"/>
        <c:noMultiLvlLbl val="0"/>
      </c:catAx>
      <c:valAx>
        <c:axId val="14134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347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11</xdr:row>
      <xdr:rowOff>157162</xdr:rowOff>
    </xdr:from>
    <xdr:to>
      <xdr:col>7</xdr:col>
      <xdr:colOff>361950</xdr:colOff>
      <xdr:row>26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C99ED5-9DB0-42E9-B9CA-AB3401CBE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17</xdr:row>
      <xdr:rowOff>157162</xdr:rowOff>
    </xdr:from>
    <xdr:to>
      <xdr:col>7</xdr:col>
      <xdr:colOff>600075</xdr:colOff>
      <xdr:row>32</xdr:row>
      <xdr:rowOff>42862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3D0B51F-7B74-498F-A0B8-BE3D8C35E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1C2F-365C-4FCC-AF31-BCCE382FD812}">
  <dimension ref="A1:C2"/>
  <sheetViews>
    <sheetView workbookViewId="0">
      <selection activeCell="C3" sqref="C3"/>
    </sheetView>
  </sheetViews>
  <sheetFormatPr defaultRowHeight="15" x14ac:dyDescent="0.25"/>
  <cols>
    <col min="1" max="1" width="33.28515625" customWidth="1"/>
    <col min="2" max="2" width="31.7109375" customWidth="1"/>
  </cols>
  <sheetData>
    <row r="1" spans="1:3" x14ac:dyDescent="0.25">
      <c r="A1" s="12" t="s">
        <v>0</v>
      </c>
      <c r="B1" s="12" t="s">
        <v>1</v>
      </c>
      <c r="C1" s="12" t="s">
        <v>2</v>
      </c>
    </row>
    <row r="2" spans="1:3" x14ac:dyDescent="0.25">
      <c r="A2">
        <v>20</v>
      </c>
      <c r="B2">
        <v>9</v>
      </c>
      <c r="C2">
        <f>A2*B2/100</f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3790-5EC6-4257-B1F5-07E498CF544C}">
  <dimension ref="A1:C2"/>
  <sheetViews>
    <sheetView workbookViewId="0">
      <selection activeCell="C3" sqref="C3"/>
    </sheetView>
  </sheetViews>
  <sheetFormatPr defaultRowHeight="15" x14ac:dyDescent="0.25"/>
  <cols>
    <col min="1" max="1" width="18.42578125" customWidth="1"/>
    <col min="2" max="2" width="29.85546875" customWidth="1"/>
    <col min="3" max="3" width="20.710937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200</v>
      </c>
      <c r="B2">
        <v>23</v>
      </c>
      <c r="C2">
        <f>A2*B2/100</f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0D87-123A-45C4-8D63-1FECA0C25481}">
  <dimension ref="A1:C6"/>
  <sheetViews>
    <sheetView workbookViewId="0">
      <selection activeCell="D12" sqref="D11:D12"/>
    </sheetView>
  </sheetViews>
  <sheetFormatPr defaultRowHeight="15" x14ac:dyDescent="0.25"/>
  <cols>
    <col min="1" max="1" width="17.7109375" customWidth="1"/>
    <col min="2" max="2" width="20.57031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s="1">
        <v>29.89</v>
      </c>
      <c r="B2" s="1">
        <v>50</v>
      </c>
      <c r="C2" s="1">
        <f>$A$2*B2</f>
        <v>1494.5</v>
      </c>
    </row>
    <row r="3" spans="1:3" x14ac:dyDescent="0.25">
      <c r="A3" s="1"/>
      <c r="B3" s="1">
        <v>78</v>
      </c>
      <c r="C3" s="1">
        <f t="shared" ref="C3:C6" si="0">$A$2*B3</f>
        <v>2331.42</v>
      </c>
    </row>
    <row r="4" spans="1:3" x14ac:dyDescent="0.25">
      <c r="A4" s="1"/>
      <c r="B4" s="1">
        <v>43</v>
      </c>
      <c r="C4" s="1">
        <f t="shared" si="0"/>
        <v>1285.27</v>
      </c>
    </row>
    <row r="5" spans="1:3" x14ac:dyDescent="0.25">
      <c r="A5" s="1"/>
      <c r="B5" s="1">
        <v>80</v>
      </c>
      <c r="C5" s="1">
        <f t="shared" si="0"/>
        <v>2391.1999999999998</v>
      </c>
    </row>
    <row r="6" spans="1:3" x14ac:dyDescent="0.25">
      <c r="A6" s="1"/>
      <c r="B6" s="1">
        <v>66</v>
      </c>
      <c r="C6" s="1">
        <f t="shared" si="0"/>
        <v>1972.74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01B0-54B5-4916-81AD-D028903DA638}">
  <dimension ref="A1:C9"/>
  <sheetViews>
    <sheetView workbookViewId="0">
      <selection activeCell="B10" sqref="B10"/>
    </sheetView>
  </sheetViews>
  <sheetFormatPr defaultRowHeight="15" x14ac:dyDescent="0.25"/>
  <cols>
    <col min="1" max="2" width="18.42578125" customWidth="1"/>
    <col min="3" max="3" width="20.42578125" customWidth="1"/>
  </cols>
  <sheetData>
    <row r="1" spans="1:3" x14ac:dyDescent="0.25">
      <c r="A1" s="5" t="s">
        <v>9</v>
      </c>
      <c r="B1" s="5" t="s">
        <v>10</v>
      </c>
      <c r="C1" s="5" t="s">
        <v>11</v>
      </c>
    </row>
    <row r="2" spans="1:3" x14ac:dyDescent="0.25">
      <c r="A2" s="3" t="s">
        <v>17</v>
      </c>
      <c r="B2" s="2" t="s">
        <v>12</v>
      </c>
      <c r="C2" s="4">
        <v>155</v>
      </c>
    </row>
    <row r="3" spans="1:3" x14ac:dyDescent="0.25">
      <c r="A3" s="3" t="s">
        <v>18</v>
      </c>
      <c r="B3" s="2" t="s">
        <v>14</v>
      </c>
      <c r="C3" s="4">
        <v>160</v>
      </c>
    </row>
    <row r="4" spans="1:3" x14ac:dyDescent="0.25">
      <c r="A4" s="3" t="s">
        <v>19</v>
      </c>
      <c r="B4" s="2" t="s">
        <v>15</v>
      </c>
      <c r="C4" s="4">
        <v>148</v>
      </c>
    </row>
    <row r="5" spans="1:3" x14ac:dyDescent="0.25">
      <c r="A5" s="3" t="s">
        <v>20</v>
      </c>
      <c r="B5" s="2" t="s">
        <v>16</v>
      </c>
      <c r="C5" s="4">
        <v>153</v>
      </c>
    </row>
    <row r="6" spans="1:3" x14ac:dyDescent="0.25">
      <c r="A6" s="3" t="s">
        <v>21</v>
      </c>
      <c r="B6" s="2" t="s">
        <v>13</v>
      </c>
      <c r="C6" s="4">
        <v>159</v>
      </c>
    </row>
    <row r="9" spans="1:3" x14ac:dyDescent="0.25">
      <c r="A9" s="6" t="s">
        <v>22</v>
      </c>
      <c r="B9">
        <f>AVERAGE(C2:C6)</f>
        <v>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4ED0-EC99-44E6-95E1-93B4F783F1DA}">
  <dimension ref="A7:C15"/>
  <sheetViews>
    <sheetView topLeftCell="A7" workbookViewId="0">
      <selection activeCell="B16" sqref="B16"/>
    </sheetView>
  </sheetViews>
  <sheetFormatPr defaultRowHeight="15" x14ac:dyDescent="0.25"/>
  <cols>
    <col min="1" max="1" width="20.140625" customWidth="1"/>
    <col min="2" max="2" width="27" customWidth="1"/>
  </cols>
  <sheetData>
    <row r="7" spans="1:3" x14ac:dyDescent="0.25">
      <c r="A7" s="5" t="s">
        <v>23</v>
      </c>
      <c r="B7" s="5" t="s">
        <v>24</v>
      </c>
      <c r="C7" s="5" t="s">
        <v>25</v>
      </c>
    </row>
    <row r="8" spans="1:3" x14ac:dyDescent="0.25">
      <c r="A8" s="3" t="s">
        <v>26</v>
      </c>
      <c r="B8" s="2">
        <v>150</v>
      </c>
      <c r="C8" s="7">
        <v>15</v>
      </c>
    </row>
    <row r="9" spans="1:3" x14ac:dyDescent="0.25">
      <c r="A9" s="3" t="s">
        <v>27</v>
      </c>
      <c r="B9" s="2">
        <v>165</v>
      </c>
      <c r="C9" s="7">
        <v>15</v>
      </c>
    </row>
    <row r="10" spans="1:3" x14ac:dyDescent="0.25">
      <c r="A10" s="3" t="s">
        <v>28</v>
      </c>
      <c r="B10" s="2">
        <v>200</v>
      </c>
      <c r="C10" s="7">
        <v>15</v>
      </c>
    </row>
    <row r="11" spans="1:3" x14ac:dyDescent="0.25">
      <c r="A11" s="3" t="s">
        <v>29</v>
      </c>
      <c r="B11" s="2">
        <v>233</v>
      </c>
      <c r="C11" s="7">
        <v>15</v>
      </c>
    </row>
    <row r="12" spans="1:3" x14ac:dyDescent="0.25">
      <c r="A12" s="3" t="s">
        <v>30</v>
      </c>
      <c r="B12" s="2">
        <v>300</v>
      </c>
      <c r="C12" s="7">
        <v>15</v>
      </c>
    </row>
    <row r="13" spans="1:3" x14ac:dyDescent="0.25">
      <c r="A13" s="3" t="s">
        <v>31</v>
      </c>
      <c r="B13" s="2">
        <v>400</v>
      </c>
      <c r="C13" s="7">
        <v>15</v>
      </c>
    </row>
    <row r="14" spans="1:3" x14ac:dyDescent="0.25">
      <c r="A14" s="3" t="s">
        <v>32</v>
      </c>
      <c r="B14" s="2">
        <v>555</v>
      </c>
      <c r="C14" s="7">
        <v>15</v>
      </c>
    </row>
    <row r="15" spans="1:3" x14ac:dyDescent="0.25">
      <c r="A15" s="8" t="s">
        <v>33</v>
      </c>
      <c r="B15" s="1">
        <f>SUMPRODUCT(B8:B14,C8:C14)</f>
        <v>30045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4D08-8E77-4150-998A-B93DBA8589B3}">
  <dimension ref="A1:B8"/>
  <sheetViews>
    <sheetView workbookViewId="0">
      <selection activeCell="B9" sqref="B9"/>
    </sheetView>
  </sheetViews>
  <sheetFormatPr defaultRowHeight="15" x14ac:dyDescent="0.25"/>
  <cols>
    <col min="1" max="1" width="19.140625" customWidth="1"/>
    <col min="2" max="2" width="24" customWidth="1"/>
  </cols>
  <sheetData>
    <row r="1" spans="1:2" x14ac:dyDescent="0.25">
      <c r="A1" s="5" t="s">
        <v>34</v>
      </c>
      <c r="B1" s="5" t="s">
        <v>35</v>
      </c>
    </row>
    <row r="2" spans="1:2" x14ac:dyDescent="0.25">
      <c r="A2" s="9" t="s">
        <v>36</v>
      </c>
      <c r="B2" s="2">
        <v>10</v>
      </c>
    </row>
    <row r="3" spans="1:2" x14ac:dyDescent="0.25">
      <c r="A3" s="9" t="s">
        <v>37</v>
      </c>
      <c r="B3" s="2">
        <f>B2*1.5</f>
        <v>15</v>
      </c>
    </row>
    <row r="4" spans="1:2" x14ac:dyDescent="0.25">
      <c r="A4" s="9" t="s">
        <v>38</v>
      </c>
      <c r="B4" s="2">
        <f>B2*3</f>
        <v>30</v>
      </c>
    </row>
    <row r="5" spans="1:2" x14ac:dyDescent="0.25">
      <c r="A5" s="9" t="s">
        <v>39</v>
      </c>
      <c r="B5" s="2">
        <f>B4+30</f>
        <v>60</v>
      </c>
    </row>
    <row r="6" spans="1:2" x14ac:dyDescent="0.25">
      <c r="A6" s="9" t="s">
        <v>40</v>
      </c>
      <c r="B6" s="2">
        <f>B3+40</f>
        <v>55</v>
      </c>
    </row>
    <row r="7" spans="1:2" x14ac:dyDescent="0.25">
      <c r="A7" s="9" t="s">
        <v>41</v>
      </c>
      <c r="B7" s="2">
        <f>B2*4</f>
        <v>40</v>
      </c>
    </row>
    <row r="8" spans="1:2" x14ac:dyDescent="0.25">
      <c r="A8" s="9" t="s">
        <v>42</v>
      </c>
      <c r="B8" s="2">
        <f>B7+20</f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92BD-E8B7-4572-B493-561E507029C5}">
  <dimension ref="A1:E6"/>
  <sheetViews>
    <sheetView tabSelected="1" workbookViewId="0">
      <selection activeCell="E10" sqref="E10"/>
    </sheetView>
  </sheetViews>
  <sheetFormatPr defaultRowHeight="15" x14ac:dyDescent="0.25"/>
  <cols>
    <col min="1" max="1" width="20.140625" customWidth="1"/>
    <col min="4" max="4" width="23.42578125" customWidth="1"/>
    <col min="5" max="5" width="19.140625" customWidth="1"/>
  </cols>
  <sheetData>
    <row r="1" spans="1:5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</row>
    <row r="2" spans="1:5" x14ac:dyDescent="0.25">
      <c r="A2" s="3" t="s">
        <v>17</v>
      </c>
      <c r="B2" s="2">
        <v>65</v>
      </c>
      <c r="C2" s="7">
        <v>160</v>
      </c>
      <c r="D2" s="10">
        <f>C2-100</f>
        <v>60</v>
      </c>
      <c r="E2" s="11">
        <f>B2-D2</f>
        <v>5</v>
      </c>
    </row>
    <row r="3" spans="1:5" x14ac:dyDescent="0.25">
      <c r="A3" s="3" t="s">
        <v>18</v>
      </c>
      <c r="B3" s="2">
        <v>57</v>
      </c>
      <c r="C3" s="7">
        <v>155</v>
      </c>
      <c r="D3" s="10">
        <f t="shared" ref="D3:D6" si="0">C3-100</f>
        <v>55</v>
      </c>
      <c r="E3" s="11">
        <f t="shared" ref="E3:E6" si="1">B3-D3</f>
        <v>2</v>
      </c>
    </row>
    <row r="4" spans="1:5" x14ac:dyDescent="0.25">
      <c r="A4" s="3" t="s">
        <v>19</v>
      </c>
      <c r="B4" s="2">
        <v>69</v>
      </c>
      <c r="C4" s="7">
        <v>164</v>
      </c>
      <c r="D4" s="10">
        <f t="shared" si="0"/>
        <v>64</v>
      </c>
      <c r="E4" s="11">
        <f t="shared" si="1"/>
        <v>5</v>
      </c>
    </row>
    <row r="5" spans="1:5" x14ac:dyDescent="0.25">
      <c r="A5" s="3" t="s">
        <v>48</v>
      </c>
      <c r="B5" s="2">
        <v>72</v>
      </c>
      <c r="C5" s="7">
        <v>170</v>
      </c>
      <c r="D5" s="10">
        <f t="shared" si="0"/>
        <v>70</v>
      </c>
      <c r="E5" s="11">
        <f t="shared" si="1"/>
        <v>2</v>
      </c>
    </row>
    <row r="6" spans="1:5" x14ac:dyDescent="0.25">
      <c r="A6" s="3" t="s">
        <v>49</v>
      </c>
      <c r="B6" s="2">
        <v>88</v>
      </c>
      <c r="C6" s="7">
        <v>180</v>
      </c>
      <c r="D6" s="10">
        <f t="shared" si="0"/>
        <v>80</v>
      </c>
      <c r="E6" s="11">
        <f t="shared" si="1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Сахар</vt:lpstr>
      <vt:lpstr>Деревья</vt:lpstr>
      <vt:lpstr>Доллар</vt:lpstr>
      <vt:lpstr>Рост</vt:lpstr>
      <vt:lpstr>Цирк</vt:lpstr>
      <vt:lpstr>Ресторан</vt:lpstr>
      <vt:lpstr>Оптимальный вес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2026-05-02T07:59:23Z</dcterms:created>
  <dcterms:modified xsi:type="dcterms:W3CDTF">2026-05-02T08:45:49Z</dcterms:modified>
</cp:coreProperties>
</file>