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44\"/>
    </mc:Choice>
  </mc:AlternateContent>
  <xr:revisionPtr revIDLastSave="0" documentId="13_ncr:1_{1D23A1E5-1DE4-426E-8352-E6817549D0E6}" xr6:coauthVersionLast="47" xr6:coauthVersionMax="47" xr10:uidLastSave="{00000000-0000-0000-0000-000000000000}"/>
  <bookViews>
    <workbookView xWindow="-120" yWindow="-120" windowWidth="29040" windowHeight="15840" firstSheet="3" activeTab="4" xr2:uid="{00000000-000D-0000-FFFF-FFFF00000000}"/>
  </bookViews>
  <sheets>
    <sheet name="Зарплата январь" sheetId="1" r:id="rId1"/>
    <sheet name="Заплата февраль" sheetId="2" r:id="rId2"/>
    <sheet name="Зарплата март" sheetId="4" r:id="rId3"/>
    <sheet name="Ведомость начисления зп за 1 кв" sheetId="5" r:id="rId4"/>
    <sheet name="Итоги за 1 квартал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6" l="1"/>
  <c r="B31" i="6"/>
  <c r="F29" i="6"/>
  <c r="E29" i="6"/>
  <c r="D29" i="6"/>
  <c r="C29" i="6"/>
  <c r="B29" i="6"/>
  <c r="F27" i="6"/>
  <c r="C27" i="6"/>
  <c r="B27" i="6"/>
  <c r="F25" i="6"/>
  <c r="E25" i="6"/>
  <c r="D25" i="6"/>
  <c r="C25" i="6"/>
  <c r="B25" i="6"/>
  <c r="F23" i="6"/>
  <c r="D23" i="6"/>
  <c r="C23" i="6"/>
  <c r="B23" i="6"/>
  <c r="D21" i="6"/>
  <c r="C21" i="6"/>
  <c r="B21" i="6"/>
  <c r="D19" i="6"/>
  <c r="C19" i="6"/>
  <c r="B19" i="6"/>
  <c r="C17" i="6"/>
  <c r="B17" i="6"/>
  <c r="C15" i="6"/>
  <c r="B15" i="6"/>
  <c r="C13" i="6"/>
  <c r="B13" i="6"/>
  <c r="C11" i="6"/>
  <c r="B11" i="6"/>
  <c r="F9" i="6"/>
  <c r="E9" i="6"/>
  <c r="C9" i="6"/>
  <c r="B9" i="6"/>
  <c r="C7" i="6"/>
  <c r="B7" i="6"/>
  <c r="F5" i="6"/>
  <c r="E5" i="6"/>
  <c r="D5" i="6"/>
  <c r="C5" i="6"/>
  <c r="C32" i="6" s="1"/>
  <c r="B5" i="6"/>
  <c r="F3" i="6"/>
  <c r="F32" i="6" s="1"/>
  <c r="E3" i="6"/>
  <c r="D3" i="6"/>
  <c r="D32" i="6" s="1"/>
  <c r="C3" i="6"/>
  <c r="B3" i="6"/>
  <c r="B32" i="6" s="1"/>
  <c r="F8" i="6"/>
  <c r="F10" i="6"/>
  <c r="F11" i="6" s="1"/>
  <c r="F12" i="6"/>
  <c r="F13" i="6" s="1"/>
  <c r="F14" i="6"/>
  <c r="F15" i="6" s="1"/>
  <c r="F16" i="6"/>
  <c r="F17" i="6" s="1"/>
  <c r="F18" i="6"/>
  <c r="F19" i="6" s="1"/>
  <c r="F20" i="6"/>
  <c r="F21" i="6" s="1"/>
  <c r="F22" i="6"/>
  <c r="F24" i="6"/>
  <c r="F26" i="6"/>
  <c r="F28" i="6"/>
  <c r="F30" i="6"/>
  <c r="F31" i="6" s="1"/>
  <c r="F6" i="6"/>
  <c r="F7" i="6" s="1"/>
  <c r="E30" i="6"/>
  <c r="E31" i="6" s="1"/>
  <c r="E8" i="6"/>
  <c r="E10" i="6"/>
  <c r="E11" i="6" s="1"/>
  <c r="E12" i="6"/>
  <c r="E13" i="6" s="1"/>
  <c r="E14" i="6"/>
  <c r="E15" i="6" s="1"/>
  <c r="E16" i="6"/>
  <c r="E17" i="6" s="1"/>
  <c r="E18" i="6"/>
  <c r="E19" i="6" s="1"/>
  <c r="E20" i="6"/>
  <c r="E21" i="6" s="1"/>
  <c r="E22" i="6"/>
  <c r="E23" i="6" s="1"/>
  <c r="E24" i="6"/>
  <c r="E26" i="6"/>
  <c r="E27" i="6" s="1"/>
  <c r="E28" i="6"/>
  <c r="E6" i="6"/>
  <c r="E7" i="6" s="1"/>
  <c r="D8" i="6"/>
  <c r="D9" i="6" s="1"/>
  <c r="D10" i="6"/>
  <c r="D11" i="6" s="1"/>
  <c r="D12" i="6"/>
  <c r="D13" i="6" s="1"/>
  <c r="D14" i="6"/>
  <c r="D15" i="6" s="1"/>
  <c r="D16" i="6"/>
  <c r="D17" i="6" s="1"/>
  <c r="D18" i="6"/>
  <c r="D20" i="6"/>
  <c r="D22" i="6"/>
  <c r="D24" i="6"/>
  <c r="D26" i="6"/>
  <c r="D27" i="6" s="1"/>
  <c r="D28" i="6"/>
  <c r="D30" i="6"/>
  <c r="D31" i="6" s="1"/>
  <c r="D6" i="6"/>
  <c r="D7" i="6" s="1"/>
  <c r="C19" i="5"/>
  <c r="C18" i="5"/>
  <c r="C17" i="5"/>
  <c r="C16" i="5"/>
  <c r="E15" i="5"/>
  <c r="F15" i="5" s="1"/>
  <c r="D15" i="5"/>
  <c r="E14" i="5"/>
  <c r="D14" i="5"/>
  <c r="F14" i="5" s="1"/>
  <c r="E13" i="5"/>
  <c r="F13" i="5" s="1"/>
  <c r="D13" i="5"/>
  <c r="F12" i="5"/>
  <c r="G12" i="5" s="1"/>
  <c r="H12" i="5" s="1"/>
  <c r="E12" i="5"/>
  <c r="D12" i="5"/>
  <c r="E11" i="5"/>
  <c r="D11" i="5"/>
  <c r="F11" i="5" s="1"/>
  <c r="F10" i="5"/>
  <c r="E10" i="5"/>
  <c r="D10" i="5"/>
  <c r="E9" i="5"/>
  <c r="F9" i="5" s="1"/>
  <c r="D9" i="5"/>
  <c r="E8" i="5"/>
  <c r="D8" i="5"/>
  <c r="F8" i="5" s="1"/>
  <c r="E7" i="5"/>
  <c r="D7" i="5"/>
  <c r="F7" i="5" s="1"/>
  <c r="E6" i="5"/>
  <c r="D6" i="5"/>
  <c r="F6" i="5" s="1"/>
  <c r="E5" i="5"/>
  <c r="D5" i="5"/>
  <c r="F5" i="5" s="1"/>
  <c r="E4" i="5"/>
  <c r="D4" i="5"/>
  <c r="F4" i="5" s="1"/>
  <c r="E3" i="5"/>
  <c r="F3" i="5" s="1"/>
  <c r="D3" i="5"/>
  <c r="D16" i="5" s="1"/>
  <c r="E4" i="4"/>
  <c r="E5" i="4"/>
  <c r="E6" i="4"/>
  <c r="E7" i="4"/>
  <c r="E8" i="4"/>
  <c r="E9" i="4"/>
  <c r="F9" i="4" s="1"/>
  <c r="E10" i="4"/>
  <c r="E11" i="4"/>
  <c r="E12" i="4"/>
  <c r="E13" i="4"/>
  <c r="F13" i="4" s="1"/>
  <c r="E14" i="4"/>
  <c r="F14" i="4" s="1"/>
  <c r="E15" i="4"/>
  <c r="D4" i="4"/>
  <c r="F4" i="4" s="1"/>
  <c r="D5" i="4"/>
  <c r="D6" i="4"/>
  <c r="F6" i="4" s="1"/>
  <c r="D7" i="4"/>
  <c r="F7" i="4" s="1"/>
  <c r="G7" i="4" s="1"/>
  <c r="H7" i="4" s="1"/>
  <c r="D8" i="4"/>
  <c r="F8" i="4" s="1"/>
  <c r="D9" i="4"/>
  <c r="D10" i="4"/>
  <c r="D11" i="4"/>
  <c r="F11" i="4" s="1"/>
  <c r="D12" i="4"/>
  <c r="D13" i="4"/>
  <c r="D14" i="4"/>
  <c r="D15" i="4"/>
  <c r="E3" i="4"/>
  <c r="D3" i="4"/>
  <c r="C19" i="4"/>
  <c r="C18" i="4"/>
  <c r="C17" i="4"/>
  <c r="C16" i="4"/>
  <c r="F15" i="4"/>
  <c r="F12" i="4"/>
  <c r="G12" i="4" s="1"/>
  <c r="F10" i="4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3" i="2"/>
  <c r="C19" i="2"/>
  <c r="C18" i="2"/>
  <c r="C17" i="2"/>
  <c r="C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16" i="1"/>
  <c r="E16" i="1"/>
  <c r="F16" i="1"/>
  <c r="G16" i="1"/>
  <c r="C16" i="1"/>
  <c r="C19" i="1"/>
  <c r="C18" i="1"/>
  <c r="C17" i="1"/>
  <c r="G4" i="1"/>
  <c r="G5" i="1"/>
  <c r="G6" i="1"/>
  <c r="G7" i="1"/>
  <c r="G8" i="1"/>
  <c r="G9" i="1"/>
  <c r="G10" i="1"/>
  <c r="G11" i="1"/>
  <c r="G12" i="1"/>
  <c r="G13" i="1"/>
  <c r="G14" i="1"/>
  <c r="G15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3" i="1"/>
  <c r="E32" i="6" l="1"/>
  <c r="G6" i="5"/>
  <c r="H6" i="5" s="1"/>
  <c r="G7" i="5"/>
  <c r="H7" i="5" s="1"/>
  <c r="G9" i="5"/>
  <c r="H9" i="5" s="1"/>
  <c r="G8" i="5"/>
  <c r="H8" i="5" s="1"/>
  <c r="G13" i="5"/>
  <c r="H13" i="5" s="1"/>
  <c r="H14" i="5"/>
  <c r="G14" i="5"/>
  <c r="G3" i="5"/>
  <c r="G4" i="5"/>
  <c r="H4" i="5" s="1"/>
  <c r="G15" i="5"/>
  <c r="H15" i="5"/>
  <c r="G11" i="5"/>
  <c r="H11" i="5" s="1"/>
  <c r="G5" i="5"/>
  <c r="H5" i="5"/>
  <c r="G10" i="5"/>
  <c r="H10" i="5" s="1"/>
  <c r="E16" i="5"/>
  <c r="F16" i="5" s="1"/>
  <c r="G14" i="4"/>
  <c r="H14" i="4" s="1"/>
  <c r="F5" i="4"/>
  <c r="G5" i="4" s="1"/>
  <c r="H5" i="4" s="1"/>
  <c r="D16" i="4"/>
  <c r="G8" i="4"/>
  <c r="H8" i="4" s="1"/>
  <c r="G9" i="4"/>
  <c r="H9" i="4" s="1"/>
  <c r="G4" i="4"/>
  <c r="H4" i="4" s="1"/>
  <c r="G10" i="4"/>
  <c r="H10" i="4" s="1"/>
  <c r="G6" i="4"/>
  <c r="H6" i="4" s="1"/>
  <c r="G11" i="4"/>
  <c r="H11" i="4" s="1"/>
  <c r="G15" i="4"/>
  <c r="H15" i="4" s="1"/>
  <c r="G13" i="4"/>
  <c r="H13" i="4" s="1"/>
  <c r="F3" i="4"/>
  <c r="E16" i="4"/>
  <c r="H12" i="4"/>
  <c r="G10" i="2"/>
  <c r="H10" i="2"/>
  <c r="G8" i="2"/>
  <c r="H8" i="2" s="1"/>
  <c r="G9" i="2"/>
  <c r="H9" i="2" s="1"/>
  <c r="G11" i="2"/>
  <c r="H11" i="2" s="1"/>
  <c r="G12" i="2"/>
  <c r="H12" i="2" s="1"/>
  <c r="G13" i="2"/>
  <c r="H13" i="2" s="1"/>
  <c r="G14" i="2"/>
  <c r="H14" i="2" s="1"/>
  <c r="G3" i="2"/>
  <c r="H3" i="2" s="1"/>
  <c r="G15" i="2"/>
  <c r="H15" i="2" s="1"/>
  <c r="G4" i="2"/>
  <c r="H4" i="2" s="1"/>
  <c r="G5" i="2"/>
  <c r="H5" i="2" s="1"/>
  <c r="G6" i="2"/>
  <c r="H6" i="2" s="1"/>
  <c r="G7" i="2"/>
  <c r="H7" i="2" s="1"/>
  <c r="D16" i="2"/>
  <c r="G16" i="5" l="1"/>
  <c r="H3" i="5"/>
  <c r="H16" i="5" s="1"/>
  <c r="F16" i="4"/>
  <c r="G3" i="4"/>
  <c r="G16" i="4" s="1"/>
  <c r="H16" i="2"/>
  <c r="G16" i="2"/>
  <c r="H3" i="4" l="1"/>
  <c r="H16" i="4" s="1"/>
</calcChain>
</file>

<file path=xl/sharedStrings.xml><?xml version="1.0" encoding="utf-8"?>
<sst xmlns="http://schemas.openxmlformats.org/spreadsheetml/2006/main" count="149" uniqueCount="48">
  <si>
    <t>Табельный номер</t>
  </si>
  <si>
    <t>ФИО</t>
  </si>
  <si>
    <t>Оклад, руб</t>
  </si>
  <si>
    <t>Премия, руб</t>
  </si>
  <si>
    <t>Всего начислено (руб)</t>
  </si>
  <si>
    <t>Удержания (руб)</t>
  </si>
  <si>
    <t>К выдаче (руб)</t>
  </si>
  <si>
    <t>Иванова И.Г.</t>
  </si>
  <si>
    <t>Степанов А.Ш.</t>
  </si>
  <si>
    <t>Шорохов С.М</t>
  </si>
  <si>
    <t>Галкин В.Ж.</t>
  </si>
  <si>
    <t>Портнов М.Т.</t>
  </si>
  <si>
    <t>Орлова Н.Н</t>
  </si>
  <si>
    <t>Степкина А.В.</t>
  </si>
  <si>
    <t>Жарова Г.А.</t>
  </si>
  <si>
    <t>Стольникова А.Г.</t>
  </si>
  <si>
    <t>Дрынкина С.С.</t>
  </si>
  <si>
    <t>Шпаро Н.Г.</t>
  </si>
  <si>
    <t>Шашкин Р.Н.</t>
  </si>
  <si>
    <t>Стелков Р.Х.</t>
  </si>
  <si>
    <t>Всего:</t>
  </si>
  <si>
    <t>Максимальный доход:</t>
  </si>
  <si>
    <t>Минимальный доход:</t>
  </si>
  <si>
    <t>Средний доход:</t>
  </si>
  <si>
    <t>Доплата</t>
  </si>
  <si>
    <t>Премия, руб(пропорциональна окладу)</t>
  </si>
  <si>
    <t>Ведомость начисления заработной платы за 1 квартал</t>
  </si>
  <si>
    <t>За 1 квартал 2008г.</t>
  </si>
  <si>
    <t>Подразделение</t>
  </si>
  <si>
    <t>Отдел менеджмента</t>
  </si>
  <si>
    <t>Отдел реализации</t>
  </si>
  <si>
    <t>Бухгалтерия</t>
  </si>
  <si>
    <t>За 1 квартал 2008г. Итог</t>
  </si>
  <si>
    <t>Табельный номер Итог</t>
  </si>
  <si>
    <t>204 Итог</t>
  </si>
  <si>
    <t>210 Итог</t>
  </si>
  <si>
    <t>208 Итог</t>
  </si>
  <si>
    <t>201 Итог</t>
  </si>
  <si>
    <t>206 Итог</t>
  </si>
  <si>
    <t>205 Итог</t>
  </si>
  <si>
    <t>213 Итог</t>
  </si>
  <si>
    <t>202 Итог</t>
  </si>
  <si>
    <t>207 Итог</t>
  </si>
  <si>
    <t>209 Итог</t>
  </si>
  <si>
    <t>212 Итог</t>
  </si>
  <si>
    <t>203 Итог</t>
  </si>
  <si>
    <t>211 Итог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</si>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</sst>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9" tint="-0.499984740745262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rgb="FF0070C0"/>
      <name val="Arial"/>
      <family val="2"/>
      <charset val="204"/>
    </font>
    <font>
      <b/>
      <sz val="11"/>
      <color theme="1"/>
      <name val="Times New Roman"/>
      <family val="1"/>
      <charset val="204"/>
    </font>
    <font>
      <i/>
      <sz val="10"/>
      <color rgb="FF000000"/>
      <name val="Arial"/>
      <family val="2"/>
      <charset val="204"/>
    </font>
    <font>
      <b/>
      <i/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gray125">
        <bgColor rgb="FFE5E5E5"/>
      </patternFill>
    </fill>
  </fills>
  <borders count="2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indexed="64"/>
      </bottom>
      <diagonal/>
    </border>
    <border>
      <left style="medium">
        <color rgb="FF000000"/>
      </left>
      <right/>
      <top style="medium">
        <color rgb="FF000000"/>
      </top>
      <bottom style="thick">
        <color indexed="64"/>
      </bottom>
      <diagonal/>
    </border>
    <border>
      <left/>
      <right/>
      <top style="medium">
        <color rgb="FF000000"/>
      </top>
      <bottom style="thick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ck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9" fontId="2" fillId="3" borderId="2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2" fillId="3" borderId="11" xfId="0" applyNumberFormat="1" applyFont="1" applyFill="1" applyBorder="1" applyAlignment="1">
      <alignment horizontal="center" vertical="center" wrapText="1"/>
    </xf>
    <xf numFmtId="9" fontId="2" fillId="3" borderId="13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Зарплаты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'Зарплата март'!$B$3:$B$15</c:f>
              <c:strCache>
                <c:ptCount val="13"/>
                <c:pt idx="0">
                  <c:v>Иванова И.Г.</c:v>
                </c:pt>
                <c:pt idx="1">
                  <c:v>Степанов А.Ш.</c:v>
                </c:pt>
                <c:pt idx="2">
                  <c:v>Шорохов С.М</c:v>
                </c:pt>
                <c:pt idx="3">
                  <c:v>Галкин В.Ж.</c:v>
                </c:pt>
                <c:pt idx="4">
                  <c:v>Портнов М.Т.</c:v>
                </c:pt>
                <c:pt idx="5">
                  <c:v>Орлова Н.Н</c:v>
                </c:pt>
                <c:pt idx="6">
                  <c:v>Степкина А.В.</c:v>
                </c:pt>
                <c:pt idx="7">
                  <c:v>Жарова Г.А.</c:v>
                </c:pt>
                <c:pt idx="8">
                  <c:v>Стольникова А.Г.</c:v>
                </c:pt>
                <c:pt idx="9">
                  <c:v>Дрынкина С.С.</c:v>
                </c:pt>
                <c:pt idx="10">
                  <c:v>Шпаро Н.Г.</c:v>
                </c:pt>
                <c:pt idx="11">
                  <c:v>Шашкин Р.Н.</c:v>
                </c:pt>
                <c:pt idx="12">
                  <c:v>Стелков Р.Х.</c:v>
                </c:pt>
              </c:strCache>
            </c:strRef>
          </c:cat>
          <c:val>
            <c:numRef>
              <c:f>'Зарплата март'!$H$3:$H$15</c:f>
              <c:numCache>
                <c:formatCode>General</c:formatCode>
                <c:ptCount val="13"/>
                <c:pt idx="0">
                  <c:v>649803</c:v>
                </c:pt>
                <c:pt idx="1">
                  <c:v>696696</c:v>
                </c:pt>
                <c:pt idx="2">
                  <c:v>743589</c:v>
                </c:pt>
                <c:pt idx="3">
                  <c:v>790482</c:v>
                </c:pt>
                <c:pt idx="4">
                  <c:v>837375</c:v>
                </c:pt>
                <c:pt idx="5">
                  <c:v>884268</c:v>
                </c:pt>
                <c:pt idx="6">
                  <c:v>931161</c:v>
                </c:pt>
                <c:pt idx="7">
                  <c:v>978054</c:v>
                </c:pt>
                <c:pt idx="8">
                  <c:v>1024947</c:v>
                </c:pt>
                <c:pt idx="9">
                  <c:v>1071840</c:v>
                </c:pt>
                <c:pt idx="10">
                  <c:v>1118733</c:v>
                </c:pt>
                <c:pt idx="11">
                  <c:v>1165626</c:v>
                </c:pt>
                <c:pt idx="12">
                  <c:v>1212519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A-41A6-B47D-D421075B4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99553263"/>
        <c:axId val="2099553679"/>
      </c:barChart>
      <c:catAx>
        <c:axId val="209955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9553679"/>
        <c:crosses val="autoZero"/>
        <c:auto val="1"/>
        <c:lblAlgn val="ctr"/>
        <c:lblOffset val="100"/>
        <c:noMultiLvlLbl val="0"/>
      </c:catAx>
      <c:valAx>
        <c:axId val="209955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955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371475</xdr:colOff>
      <xdr:row>2</xdr:row>
      <xdr:rowOff>52387</xdr:rowOff>
    </xdr:from>
    <xdr:to>
      <xdr:col>16</xdr:col>
      <xdr:colOff>66675</xdr:colOff>
      <xdr:row>10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537B364-83CA-4690-B031-8E18FFC81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sqref="A1:G19"/>
    </sheetView>
  </sheetViews>
  <sheetFormatPr defaultRowHeight="15" x14ac:dyDescent="0.25"/>
  <sheetData>
    <row r="1" spans="1:7" ht="39.75" thickTop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</row>
    <row r="2" spans="1:7" ht="16.5" thickTop="1" thickBot="1" x14ac:dyDescent="0.3">
      <c r="A2" s="4"/>
      <c r="B2" s="5"/>
      <c r="C2" s="5"/>
      <c r="D2" s="6">
        <v>0.27</v>
      </c>
      <c r="E2" s="7"/>
      <c r="F2" s="6">
        <v>0.13</v>
      </c>
      <c r="G2" s="7"/>
    </row>
    <row r="3" spans="1:7" ht="27" thickTop="1" thickBot="1" x14ac:dyDescent="0.3">
      <c r="A3" s="8">
        <v>201</v>
      </c>
      <c r="B3" s="9" t="s">
        <v>7</v>
      </c>
      <c r="C3" s="10">
        <v>485000</v>
      </c>
      <c r="D3" s="11">
        <f>C3*0.27</f>
        <v>130950.00000000001</v>
      </c>
      <c r="E3" s="10">
        <f>C3+D3</f>
        <v>615950</v>
      </c>
      <c r="F3" s="11">
        <f>E3*0.13</f>
        <v>80073.5</v>
      </c>
      <c r="G3" s="10">
        <f>E3-F3</f>
        <v>535876.5</v>
      </c>
    </row>
    <row r="4" spans="1:7" ht="26.25" thickBot="1" x14ac:dyDescent="0.3">
      <c r="A4" s="12">
        <v>202</v>
      </c>
      <c r="B4" s="13" t="s">
        <v>8</v>
      </c>
      <c r="C4" s="11">
        <v>520000</v>
      </c>
      <c r="D4" s="11">
        <f t="shared" ref="D4:D15" si="0">C4*0.27</f>
        <v>140400</v>
      </c>
      <c r="E4" s="10">
        <f t="shared" ref="E4:E15" si="1">C4+D4</f>
        <v>660400</v>
      </c>
      <c r="F4" s="11">
        <f t="shared" ref="F4:F15" si="2">E4*0.13</f>
        <v>85852</v>
      </c>
      <c r="G4" s="10">
        <f t="shared" ref="G4:G15" si="3">E4-F4</f>
        <v>574548</v>
      </c>
    </row>
    <row r="5" spans="1:7" ht="26.25" thickBot="1" x14ac:dyDescent="0.3">
      <c r="A5" s="12">
        <v>203</v>
      </c>
      <c r="B5" s="13" t="s">
        <v>9</v>
      </c>
      <c r="C5" s="11">
        <v>555000</v>
      </c>
      <c r="D5" s="11">
        <f t="shared" si="0"/>
        <v>149850</v>
      </c>
      <c r="E5" s="10">
        <f t="shared" si="1"/>
        <v>704850</v>
      </c>
      <c r="F5" s="11">
        <f t="shared" si="2"/>
        <v>91630.5</v>
      </c>
      <c r="G5" s="10">
        <f t="shared" si="3"/>
        <v>613219.5</v>
      </c>
    </row>
    <row r="6" spans="1:7" ht="26.25" thickBot="1" x14ac:dyDescent="0.3">
      <c r="A6" s="12">
        <v>204</v>
      </c>
      <c r="B6" s="13" t="s">
        <v>10</v>
      </c>
      <c r="C6" s="11">
        <v>590000</v>
      </c>
      <c r="D6" s="11">
        <f t="shared" si="0"/>
        <v>159300</v>
      </c>
      <c r="E6" s="10">
        <f t="shared" si="1"/>
        <v>749300</v>
      </c>
      <c r="F6" s="11">
        <f t="shared" si="2"/>
        <v>97409</v>
      </c>
      <c r="G6" s="10">
        <f t="shared" si="3"/>
        <v>651891</v>
      </c>
    </row>
    <row r="7" spans="1:7" ht="26.25" thickBot="1" x14ac:dyDescent="0.3">
      <c r="A7" s="12">
        <v>205</v>
      </c>
      <c r="B7" s="13" t="s">
        <v>11</v>
      </c>
      <c r="C7" s="11">
        <v>625000</v>
      </c>
      <c r="D7" s="11">
        <f t="shared" si="0"/>
        <v>168750</v>
      </c>
      <c r="E7" s="10">
        <f t="shared" si="1"/>
        <v>793750</v>
      </c>
      <c r="F7" s="11">
        <f t="shared" si="2"/>
        <v>103187.5</v>
      </c>
      <c r="G7" s="10">
        <f t="shared" si="3"/>
        <v>690562.5</v>
      </c>
    </row>
    <row r="8" spans="1:7" ht="26.25" thickBot="1" x14ac:dyDescent="0.3">
      <c r="A8" s="12">
        <v>206</v>
      </c>
      <c r="B8" s="13" t="s">
        <v>12</v>
      </c>
      <c r="C8" s="11">
        <v>660000</v>
      </c>
      <c r="D8" s="11">
        <f t="shared" si="0"/>
        <v>178200</v>
      </c>
      <c r="E8" s="10">
        <f t="shared" si="1"/>
        <v>838200</v>
      </c>
      <c r="F8" s="11">
        <f t="shared" si="2"/>
        <v>108966</v>
      </c>
      <c r="G8" s="10">
        <f t="shared" si="3"/>
        <v>729234</v>
      </c>
    </row>
    <row r="9" spans="1:7" ht="26.25" thickBot="1" x14ac:dyDescent="0.3">
      <c r="A9" s="12">
        <v>207</v>
      </c>
      <c r="B9" s="13" t="s">
        <v>13</v>
      </c>
      <c r="C9" s="11">
        <v>695000</v>
      </c>
      <c r="D9" s="11">
        <f t="shared" si="0"/>
        <v>187650</v>
      </c>
      <c r="E9" s="10">
        <f t="shared" si="1"/>
        <v>882650</v>
      </c>
      <c r="F9" s="11">
        <f t="shared" si="2"/>
        <v>114744.5</v>
      </c>
      <c r="G9" s="10">
        <f t="shared" si="3"/>
        <v>767905.5</v>
      </c>
    </row>
    <row r="10" spans="1:7" ht="26.25" thickBot="1" x14ac:dyDescent="0.3">
      <c r="A10" s="12">
        <v>208</v>
      </c>
      <c r="B10" s="13" t="s">
        <v>14</v>
      </c>
      <c r="C10" s="11">
        <v>730000</v>
      </c>
      <c r="D10" s="11">
        <f t="shared" si="0"/>
        <v>197100</v>
      </c>
      <c r="E10" s="10">
        <f t="shared" si="1"/>
        <v>927100</v>
      </c>
      <c r="F10" s="11">
        <f t="shared" si="2"/>
        <v>120523</v>
      </c>
      <c r="G10" s="10">
        <f t="shared" si="3"/>
        <v>806577</v>
      </c>
    </row>
    <row r="11" spans="1:7" ht="26.25" thickBot="1" x14ac:dyDescent="0.3">
      <c r="A11" s="12">
        <v>209</v>
      </c>
      <c r="B11" s="13" t="s">
        <v>15</v>
      </c>
      <c r="C11" s="11">
        <v>765000</v>
      </c>
      <c r="D11" s="11">
        <f t="shared" si="0"/>
        <v>206550</v>
      </c>
      <c r="E11" s="10">
        <f t="shared" si="1"/>
        <v>971550</v>
      </c>
      <c r="F11" s="11">
        <f t="shared" si="2"/>
        <v>126301.5</v>
      </c>
      <c r="G11" s="10">
        <f t="shared" si="3"/>
        <v>845248.5</v>
      </c>
    </row>
    <row r="12" spans="1:7" ht="26.25" thickBot="1" x14ac:dyDescent="0.3">
      <c r="A12" s="12">
        <v>210</v>
      </c>
      <c r="B12" s="13" t="s">
        <v>16</v>
      </c>
      <c r="C12" s="11">
        <v>800000</v>
      </c>
      <c r="D12" s="11">
        <f t="shared" si="0"/>
        <v>216000</v>
      </c>
      <c r="E12" s="10">
        <f t="shared" si="1"/>
        <v>1016000</v>
      </c>
      <c r="F12" s="11">
        <f t="shared" si="2"/>
        <v>132080</v>
      </c>
      <c r="G12" s="10">
        <f t="shared" si="3"/>
        <v>883920</v>
      </c>
    </row>
    <row r="13" spans="1:7" ht="26.25" thickBot="1" x14ac:dyDescent="0.3">
      <c r="A13" s="12">
        <v>211</v>
      </c>
      <c r="B13" s="13" t="s">
        <v>17</v>
      </c>
      <c r="C13" s="11">
        <v>835000</v>
      </c>
      <c r="D13" s="11">
        <f t="shared" si="0"/>
        <v>225450.00000000003</v>
      </c>
      <c r="E13" s="10">
        <f t="shared" si="1"/>
        <v>1060450</v>
      </c>
      <c r="F13" s="11">
        <f t="shared" si="2"/>
        <v>137858.5</v>
      </c>
      <c r="G13" s="10">
        <f t="shared" si="3"/>
        <v>922591.5</v>
      </c>
    </row>
    <row r="14" spans="1:7" ht="26.25" thickBot="1" x14ac:dyDescent="0.3">
      <c r="A14" s="12">
        <v>212</v>
      </c>
      <c r="B14" s="13" t="s">
        <v>18</v>
      </c>
      <c r="C14" s="14">
        <v>870000</v>
      </c>
      <c r="D14" s="11">
        <f t="shared" si="0"/>
        <v>234900.00000000003</v>
      </c>
      <c r="E14" s="10">
        <f t="shared" si="1"/>
        <v>1104900</v>
      </c>
      <c r="F14" s="11">
        <f t="shared" si="2"/>
        <v>143637</v>
      </c>
      <c r="G14" s="10">
        <f t="shared" si="3"/>
        <v>961263</v>
      </c>
    </row>
    <row r="15" spans="1:7" ht="26.25" thickBot="1" x14ac:dyDescent="0.3">
      <c r="A15" s="15">
        <v>213</v>
      </c>
      <c r="B15" s="16" t="s">
        <v>19</v>
      </c>
      <c r="C15" s="17">
        <v>905000</v>
      </c>
      <c r="D15" s="11">
        <f t="shared" si="0"/>
        <v>244350.00000000003</v>
      </c>
      <c r="E15" s="10">
        <f t="shared" si="1"/>
        <v>1149350</v>
      </c>
      <c r="F15" s="11">
        <f t="shared" si="2"/>
        <v>149415.5</v>
      </c>
      <c r="G15" s="10">
        <f t="shared" si="3"/>
        <v>999934.5</v>
      </c>
    </row>
    <row r="16" spans="1:7" ht="16.5" thickTop="1" thickBot="1" x14ac:dyDescent="0.3">
      <c r="A16" s="18"/>
      <c r="B16" s="19" t="s">
        <v>20</v>
      </c>
      <c r="C16" s="20">
        <f>SUM(C3:C15)</f>
        <v>9035000</v>
      </c>
      <c r="D16" s="20">
        <f t="shared" ref="D16:G16" si="4">SUM(D3:D15)</f>
        <v>2439450</v>
      </c>
      <c r="E16" s="20">
        <f t="shared" si="4"/>
        <v>11474450</v>
      </c>
      <c r="F16" s="20">
        <f t="shared" si="4"/>
        <v>1491678.5</v>
      </c>
      <c r="G16" s="20">
        <f t="shared" si="4"/>
        <v>9982771.5</v>
      </c>
    </row>
    <row r="17" spans="1:7" ht="39.75" thickTop="1" thickBot="1" x14ac:dyDescent="0.3">
      <c r="A17" s="21"/>
      <c r="B17" s="22" t="s">
        <v>21</v>
      </c>
      <c r="C17" s="23">
        <f>MAX(C3:C15)</f>
        <v>905000</v>
      </c>
      <c r="D17" s="21"/>
      <c r="E17" s="21"/>
      <c r="F17" s="21"/>
      <c r="G17" s="21"/>
    </row>
    <row r="18" spans="1:7" ht="39.75" thickTop="1" thickBot="1" x14ac:dyDescent="0.3">
      <c r="A18" s="21"/>
      <c r="B18" s="22" t="s">
        <v>22</v>
      </c>
      <c r="C18" s="23">
        <f>MIN(C3:C15)</f>
        <v>485000</v>
      </c>
      <c r="D18" s="21"/>
      <c r="E18" s="21"/>
      <c r="F18" s="21"/>
      <c r="G18" s="21"/>
    </row>
    <row r="19" spans="1:7" ht="27" thickTop="1" thickBot="1" x14ac:dyDescent="0.3">
      <c r="A19" s="21"/>
      <c r="B19" s="22" t="s">
        <v>23</v>
      </c>
      <c r="C19" s="23">
        <f xml:space="preserve"> AVERAGE(C3:C15)</f>
        <v>695000</v>
      </c>
      <c r="D19" s="21"/>
      <c r="E19" s="21"/>
      <c r="F19" s="21"/>
      <c r="G19" s="21"/>
    </row>
    <row r="20" spans="1:7" ht="15.75" thickTop="1" x14ac:dyDescent="0.25"/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48B0-188F-40E7-BA8E-D8F61C700092}">
  <dimension ref="A1:H20"/>
  <sheetViews>
    <sheetView workbookViewId="0">
      <selection activeCell="J3" sqref="J3"/>
    </sheetView>
  </sheetViews>
  <sheetFormatPr defaultRowHeight="15" x14ac:dyDescent="0.25"/>
  <sheetData>
    <row r="1" spans="1:8" ht="65.25" thickTop="1" thickBot="1" x14ac:dyDescent="0.3">
      <c r="A1" s="1" t="s">
        <v>0</v>
      </c>
      <c r="B1" s="2" t="s">
        <v>1</v>
      </c>
      <c r="C1" s="2" t="s">
        <v>2</v>
      </c>
      <c r="D1" s="3" t="s">
        <v>25</v>
      </c>
      <c r="E1" s="3" t="s">
        <v>24</v>
      </c>
      <c r="F1" s="2" t="s">
        <v>4</v>
      </c>
      <c r="G1" s="3" t="s">
        <v>5</v>
      </c>
      <c r="H1" s="2" t="s">
        <v>6</v>
      </c>
    </row>
    <row r="2" spans="1:8" ht="16.5" thickTop="1" thickBot="1" x14ac:dyDescent="0.3">
      <c r="A2" s="4"/>
      <c r="B2" s="5"/>
      <c r="C2" s="5"/>
      <c r="D2" s="28">
        <v>0.27</v>
      </c>
      <c r="E2" s="29">
        <v>0.05</v>
      </c>
      <c r="F2" s="7"/>
      <c r="G2" s="6">
        <v>0.13</v>
      </c>
      <c r="H2" s="7"/>
    </row>
    <row r="3" spans="1:8" ht="27" thickTop="1" thickBot="1" x14ac:dyDescent="0.3">
      <c r="A3" s="8">
        <v>201</v>
      </c>
      <c r="B3" s="9" t="s">
        <v>7</v>
      </c>
      <c r="C3" s="10">
        <v>485000</v>
      </c>
      <c r="D3" s="11">
        <f>C3*0.27</f>
        <v>130950.00000000001</v>
      </c>
      <c r="E3" s="11">
        <f>C3*0.05</f>
        <v>24250</v>
      </c>
      <c r="F3" s="10">
        <f>C3+D3+E3</f>
        <v>640200</v>
      </c>
      <c r="G3" s="11">
        <f>F3*0.13</f>
        <v>83226</v>
      </c>
      <c r="H3" s="26">
        <f>F3-G3</f>
        <v>556974</v>
      </c>
    </row>
    <row r="4" spans="1:8" ht="26.25" thickBot="1" x14ac:dyDescent="0.3">
      <c r="A4" s="12">
        <v>202</v>
      </c>
      <c r="B4" s="13" t="s">
        <v>8</v>
      </c>
      <c r="C4" s="11">
        <v>520000</v>
      </c>
      <c r="D4" s="11">
        <f>C4*0.27</f>
        <v>140400</v>
      </c>
      <c r="E4" s="11">
        <f t="shared" ref="E4:E16" si="0">C4*0.05</f>
        <v>26000</v>
      </c>
      <c r="F4" s="10">
        <f t="shared" ref="F4:F16" si="1">C4+D4+E4</f>
        <v>686400</v>
      </c>
      <c r="G4" s="11">
        <f t="shared" ref="G4:G15" si="2">F4*0.13</f>
        <v>89232</v>
      </c>
      <c r="H4" s="26">
        <f t="shared" ref="H4:H15" si="3">F4-G4</f>
        <v>597168</v>
      </c>
    </row>
    <row r="5" spans="1:8" ht="26.25" thickBot="1" x14ac:dyDescent="0.3">
      <c r="A5" s="12">
        <v>203</v>
      </c>
      <c r="B5" s="13" t="s">
        <v>9</v>
      </c>
      <c r="C5" s="11">
        <v>555000</v>
      </c>
      <c r="D5" s="11">
        <f>C5*0.27</f>
        <v>149850</v>
      </c>
      <c r="E5" s="11">
        <f t="shared" si="0"/>
        <v>27750</v>
      </c>
      <c r="F5" s="10">
        <f t="shared" si="1"/>
        <v>732600</v>
      </c>
      <c r="G5" s="11">
        <f t="shared" si="2"/>
        <v>95238</v>
      </c>
      <c r="H5" s="26">
        <f t="shared" si="3"/>
        <v>637362</v>
      </c>
    </row>
    <row r="6" spans="1:8" ht="26.25" thickBot="1" x14ac:dyDescent="0.3">
      <c r="A6" s="12">
        <v>204</v>
      </c>
      <c r="B6" s="13" t="s">
        <v>10</v>
      </c>
      <c r="C6" s="11">
        <v>590000</v>
      </c>
      <c r="D6" s="11">
        <f>C6*0.27</f>
        <v>159300</v>
      </c>
      <c r="E6" s="11">
        <f t="shared" si="0"/>
        <v>29500</v>
      </c>
      <c r="F6" s="10">
        <f t="shared" si="1"/>
        <v>778800</v>
      </c>
      <c r="G6" s="11">
        <f t="shared" si="2"/>
        <v>101244</v>
      </c>
      <c r="H6" s="26">
        <f t="shared" si="3"/>
        <v>677556</v>
      </c>
    </row>
    <row r="7" spans="1:8" ht="26.25" thickBot="1" x14ac:dyDescent="0.3">
      <c r="A7" s="12">
        <v>205</v>
      </c>
      <c r="B7" s="13" t="s">
        <v>11</v>
      </c>
      <c r="C7" s="11">
        <v>625000</v>
      </c>
      <c r="D7" s="11">
        <f>C7*0.27</f>
        <v>168750</v>
      </c>
      <c r="E7" s="11">
        <f t="shared" si="0"/>
        <v>31250</v>
      </c>
      <c r="F7" s="10">
        <f t="shared" si="1"/>
        <v>825000</v>
      </c>
      <c r="G7" s="11">
        <f t="shared" si="2"/>
        <v>107250</v>
      </c>
      <c r="H7" s="25">
        <f t="shared" si="3"/>
        <v>717750</v>
      </c>
    </row>
    <row r="8" spans="1:8" ht="26.25" thickBot="1" x14ac:dyDescent="0.3">
      <c r="A8" s="12">
        <v>206</v>
      </c>
      <c r="B8" s="13" t="s">
        <v>12</v>
      </c>
      <c r="C8" s="11">
        <v>660000</v>
      </c>
      <c r="D8" s="11">
        <f>C8*0.27</f>
        <v>178200</v>
      </c>
      <c r="E8" s="11">
        <f t="shared" si="0"/>
        <v>33000</v>
      </c>
      <c r="F8" s="10">
        <f t="shared" si="1"/>
        <v>871200</v>
      </c>
      <c r="G8" s="11">
        <f t="shared" si="2"/>
        <v>113256</v>
      </c>
      <c r="H8" s="25">
        <f t="shared" si="3"/>
        <v>757944</v>
      </c>
    </row>
    <row r="9" spans="1:8" ht="26.25" thickBot="1" x14ac:dyDescent="0.3">
      <c r="A9" s="12">
        <v>207</v>
      </c>
      <c r="B9" s="13" t="s">
        <v>13</v>
      </c>
      <c r="C9" s="11">
        <v>695000</v>
      </c>
      <c r="D9" s="11">
        <f>C9*0.27</f>
        <v>187650</v>
      </c>
      <c r="E9" s="11">
        <f t="shared" si="0"/>
        <v>34750</v>
      </c>
      <c r="F9" s="10">
        <f t="shared" si="1"/>
        <v>917400</v>
      </c>
      <c r="G9" s="11">
        <f t="shared" si="2"/>
        <v>119262</v>
      </c>
      <c r="H9" s="25">
        <f t="shared" si="3"/>
        <v>798138</v>
      </c>
    </row>
    <row r="10" spans="1:8" ht="26.25" thickBot="1" x14ac:dyDescent="0.3">
      <c r="A10" s="12">
        <v>208</v>
      </c>
      <c r="B10" s="13" t="s">
        <v>14</v>
      </c>
      <c r="C10" s="11">
        <v>730000</v>
      </c>
      <c r="D10" s="11">
        <f>C10*0.27</f>
        <v>197100</v>
      </c>
      <c r="E10" s="11">
        <f t="shared" si="0"/>
        <v>36500</v>
      </c>
      <c r="F10" s="10">
        <f t="shared" si="1"/>
        <v>963600</v>
      </c>
      <c r="G10" s="11">
        <f t="shared" si="2"/>
        <v>125268</v>
      </c>
      <c r="H10" s="25">
        <f t="shared" si="3"/>
        <v>838332</v>
      </c>
    </row>
    <row r="11" spans="1:8" ht="26.25" thickBot="1" x14ac:dyDescent="0.3">
      <c r="A11" s="12">
        <v>209</v>
      </c>
      <c r="B11" s="13" t="s">
        <v>15</v>
      </c>
      <c r="C11" s="11">
        <v>765000</v>
      </c>
      <c r="D11" s="11">
        <f>C11*0.27</f>
        <v>206550</v>
      </c>
      <c r="E11" s="11">
        <f t="shared" si="0"/>
        <v>38250</v>
      </c>
      <c r="F11" s="10">
        <f t="shared" si="1"/>
        <v>1009800</v>
      </c>
      <c r="G11" s="11">
        <f t="shared" si="2"/>
        <v>131274</v>
      </c>
      <c r="H11" s="25">
        <f t="shared" si="3"/>
        <v>878526</v>
      </c>
    </row>
    <row r="12" spans="1:8" ht="26.25" thickBot="1" x14ac:dyDescent="0.3">
      <c r="A12" s="12">
        <v>210</v>
      </c>
      <c r="B12" s="13" t="s">
        <v>16</v>
      </c>
      <c r="C12" s="11">
        <v>800000</v>
      </c>
      <c r="D12" s="11">
        <f>C12*0.27</f>
        <v>216000</v>
      </c>
      <c r="E12" s="11">
        <f t="shared" si="0"/>
        <v>40000</v>
      </c>
      <c r="F12" s="10">
        <f t="shared" si="1"/>
        <v>1056000</v>
      </c>
      <c r="G12" s="11">
        <f t="shared" si="2"/>
        <v>137280</v>
      </c>
      <c r="H12" s="25">
        <f t="shared" si="3"/>
        <v>918720</v>
      </c>
    </row>
    <row r="13" spans="1:8" ht="26.25" thickBot="1" x14ac:dyDescent="0.3">
      <c r="A13" s="12">
        <v>211</v>
      </c>
      <c r="B13" s="13" t="s">
        <v>17</v>
      </c>
      <c r="C13" s="11">
        <v>835000</v>
      </c>
      <c r="D13" s="11">
        <f>C13*0.27</f>
        <v>225450.00000000003</v>
      </c>
      <c r="E13" s="11">
        <f t="shared" si="0"/>
        <v>41750</v>
      </c>
      <c r="F13" s="10">
        <f t="shared" si="1"/>
        <v>1102200</v>
      </c>
      <c r="G13" s="11">
        <f t="shared" si="2"/>
        <v>143286</v>
      </c>
      <c r="H13" s="25">
        <f t="shared" si="3"/>
        <v>958914</v>
      </c>
    </row>
    <row r="14" spans="1:8" ht="26.25" thickBot="1" x14ac:dyDescent="0.3">
      <c r="A14" s="12">
        <v>212</v>
      </c>
      <c r="B14" s="13" t="s">
        <v>18</v>
      </c>
      <c r="C14" s="14">
        <v>870000</v>
      </c>
      <c r="D14" s="11">
        <f>C14*0.27</f>
        <v>234900.00000000003</v>
      </c>
      <c r="E14" s="11">
        <f t="shared" si="0"/>
        <v>43500</v>
      </c>
      <c r="F14" s="10">
        <f t="shared" si="1"/>
        <v>1148400</v>
      </c>
      <c r="G14" s="11">
        <f t="shared" si="2"/>
        <v>149292</v>
      </c>
      <c r="H14" s="25">
        <f t="shared" si="3"/>
        <v>999108</v>
      </c>
    </row>
    <row r="15" spans="1:8" ht="26.25" thickBot="1" x14ac:dyDescent="0.3">
      <c r="A15" s="15">
        <v>213</v>
      </c>
      <c r="B15" s="16" t="s">
        <v>19</v>
      </c>
      <c r="C15" s="17">
        <v>905000</v>
      </c>
      <c r="D15" s="11">
        <f>C15*0.27</f>
        <v>244350.00000000003</v>
      </c>
      <c r="E15" s="11">
        <f t="shared" si="0"/>
        <v>45250</v>
      </c>
      <c r="F15" s="10">
        <f t="shared" si="1"/>
        <v>1194600</v>
      </c>
      <c r="G15" s="11">
        <f t="shared" si="2"/>
        <v>155298</v>
      </c>
      <c r="H15" s="27">
        <f t="shared" si="3"/>
        <v>1039302</v>
      </c>
    </row>
    <row r="16" spans="1:8" ht="16.5" thickTop="1" thickBot="1" x14ac:dyDescent="0.3">
      <c r="A16" s="18"/>
      <c r="B16" s="19" t="s">
        <v>20</v>
      </c>
      <c r="C16" s="20">
        <f>SUM(C3:C15)</f>
        <v>9035000</v>
      </c>
      <c r="D16" s="20">
        <f t="shared" ref="D16:H16" si="4">SUM(D3:D15)</f>
        <v>2439450</v>
      </c>
      <c r="E16" s="11">
        <f t="shared" si="0"/>
        <v>451750</v>
      </c>
      <c r="F16" s="10">
        <f t="shared" si="1"/>
        <v>11926200</v>
      </c>
      <c r="G16" s="20">
        <f t="shared" si="4"/>
        <v>1550406</v>
      </c>
      <c r="H16" s="20">
        <f t="shared" si="4"/>
        <v>10375794</v>
      </c>
    </row>
    <row r="17" spans="1:8" ht="39.75" thickTop="1" thickBot="1" x14ac:dyDescent="0.3">
      <c r="A17" s="21"/>
      <c r="B17" s="22" t="s">
        <v>21</v>
      </c>
      <c r="C17" s="23">
        <f>MAX(C3:C15)</f>
        <v>905000</v>
      </c>
      <c r="D17" s="21"/>
      <c r="E17" s="21"/>
      <c r="F17" s="21"/>
      <c r="G17" s="21"/>
      <c r="H17" s="21"/>
    </row>
    <row r="18" spans="1:8" ht="39.75" thickTop="1" thickBot="1" x14ac:dyDescent="0.3">
      <c r="A18" s="21"/>
      <c r="B18" s="22" t="s">
        <v>22</v>
      </c>
      <c r="C18" s="23">
        <f>MIN(C3:C15)</f>
        <v>485000</v>
      </c>
      <c r="D18" s="21"/>
      <c r="E18" s="21"/>
      <c r="F18" s="21"/>
      <c r="G18" s="21"/>
      <c r="H18" s="21"/>
    </row>
    <row r="19" spans="1:8" ht="27" thickTop="1" thickBot="1" x14ac:dyDescent="0.3">
      <c r="A19" s="21"/>
      <c r="B19" s="22" t="s">
        <v>23</v>
      </c>
      <c r="C19" s="23">
        <f xml:space="preserve"> AVERAGE(C3:C15)</f>
        <v>695000</v>
      </c>
      <c r="D19" s="21"/>
      <c r="E19" s="21"/>
      <c r="F19" s="21"/>
      <c r="G19" s="21"/>
      <c r="H19" s="21"/>
    </row>
    <row r="20" spans="1:8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D234-5BFC-453B-9195-3A8F1FFB5195}">
  <dimension ref="A1:H20"/>
  <sheetViews>
    <sheetView workbookViewId="0">
      <selection activeCell="J18" sqref="J18"/>
    </sheetView>
  </sheetViews>
  <sheetFormatPr defaultRowHeight="15" x14ac:dyDescent="0.25"/>
  <sheetData>
    <row r="1" spans="1:8" ht="65.25" thickTop="1" thickBot="1" x14ac:dyDescent="0.3">
      <c r="A1" s="1" t="s">
        <v>0</v>
      </c>
      <c r="B1" s="2" t="s">
        <v>1</v>
      </c>
      <c r="C1" s="2" t="s">
        <v>2</v>
      </c>
      <c r="D1" s="3" t="s">
        <v>25</v>
      </c>
      <c r="E1" s="3" t="s">
        <v>24</v>
      </c>
      <c r="F1" s="2" t="s">
        <v>4</v>
      </c>
      <c r="G1" s="3" t="s">
        <v>5</v>
      </c>
      <c r="H1" s="2" t="s">
        <v>6</v>
      </c>
    </row>
    <row r="2" spans="1:8" ht="16.5" thickTop="1" thickBot="1" x14ac:dyDescent="0.3">
      <c r="A2" s="4"/>
      <c r="B2" s="5"/>
      <c r="C2" s="5"/>
      <c r="D2" s="28">
        <v>0.46</v>
      </c>
      <c r="E2" s="29">
        <v>0.08</v>
      </c>
      <c r="F2" s="7"/>
      <c r="G2" s="6">
        <v>0.13</v>
      </c>
      <c r="H2" s="7"/>
    </row>
    <row r="3" spans="1:8" ht="27" thickTop="1" thickBot="1" x14ac:dyDescent="0.3">
      <c r="A3" s="8">
        <v>201</v>
      </c>
      <c r="B3" s="9" t="s">
        <v>7</v>
      </c>
      <c r="C3" s="10">
        <v>485000</v>
      </c>
      <c r="D3" s="11">
        <f>C3*0.46</f>
        <v>223100</v>
      </c>
      <c r="E3" s="11">
        <f>C3*0.08</f>
        <v>38800</v>
      </c>
      <c r="F3" s="10">
        <f>C3+D3+E3</f>
        <v>746900</v>
      </c>
      <c r="G3" s="11">
        <f>F3*0.13</f>
        <v>97097</v>
      </c>
      <c r="H3" s="26">
        <f>F3-G3</f>
        <v>649803</v>
      </c>
    </row>
    <row r="4" spans="1:8" ht="26.25" thickBot="1" x14ac:dyDescent="0.3">
      <c r="A4" s="12">
        <v>202</v>
      </c>
      <c r="B4" s="13" t="s">
        <v>8</v>
      </c>
      <c r="C4" s="11">
        <v>520000</v>
      </c>
      <c r="D4" s="11">
        <f t="shared" ref="D4:D15" si="0">C4*0.46</f>
        <v>239200</v>
      </c>
      <c r="E4" s="11">
        <f t="shared" ref="E4:E15" si="1">C4*0.08</f>
        <v>41600</v>
      </c>
      <c r="F4" s="10">
        <f t="shared" ref="F4:F16" si="2">C4+D4+E4</f>
        <v>800800</v>
      </c>
      <c r="G4" s="11">
        <f t="shared" ref="G4:G15" si="3">F4*0.13</f>
        <v>104104</v>
      </c>
      <c r="H4" s="26">
        <f t="shared" ref="H4:H15" si="4">F4-G4</f>
        <v>696696</v>
      </c>
    </row>
    <row r="5" spans="1:8" ht="26.25" thickBot="1" x14ac:dyDescent="0.3">
      <c r="A5" s="12">
        <v>203</v>
      </c>
      <c r="B5" s="13" t="s">
        <v>9</v>
      </c>
      <c r="C5" s="11">
        <v>555000</v>
      </c>
      <c r="D5" s="11">
        <f t="shared" si="0"/>
        <v>255300</v>
      </c>
      <c r="E5" s="11">
        <f t="shared" si="1"/>
        <v>44400</v>
      </c>
      <c r="F5" s="10">
        <f t="shared" si="2"/>
        <v>854700</v>
      </c>
      <c r="G5" s="11">
        <f t="shared" si="3"/>
        <v>111111</v>
      </c>
      <c r="H5" s="26">
        <f t="shared" si="4"/>
        <v>743589</v>
      </c>
    </row>
    <row r="6" spans="1:8" ht="26.25" thickBot="1" x14ac:dyDescent="0.3">
      <c r="A6" s="12">
        <v>204</v>
      </c>
      <c r="B6" s="13" t="s">
        <v>10</v>
      </c>
      <c r="C6" s="11">
        <v>590000</v>
      </c>
      <c r="D6" s="11">
        <f t="shared" si="0"/>
        <v>271400</v>
      </c>
      <c r="E6" s="11">
        <f t="shared" si="1"/>
        <v>47200</v>
      </c>
      <c r="F6" s="10">
        <f t="shared" si="2"/>
        <v>908600</v>
      </c>
      <c r="G6" s="11">
        <f t="shared" si="3"/>
        <v>118118</v>
      </c>
      <c r="H6" s="26">
        <f t="shared" si="4"/>
        <v>790482</v>
      </c>
    </row>
    <row r="7" spans="1:8" ht="26.25" thickBot="1" x14ac:dyDescent="0.3">
      <c r="A7" s="12">
        <v>205</v>
      </c>
      <c r="B7" s="13" t="s">
        <v>11</v>
      </c>
      <c r="C7" s="11">
        <v>625000</v>
      </c>
      <c r="D7" s="11">
        <f t="shared" si="0"/>
        <v>287500</v>
      </c>
      <c r="E7" s="11">
        <f t="shared" si="1"/>
        <v>50000</v>
      </c>
      <c r="F7" s="10">
        <f t="shared" si="2"/>
        <v>962500</v>
      </c>
      <c r="G7" s="11">
        <f t="shared" si="3"/>
        <v>125125</v>
      </c>
      <c r="H7" s="25">
        <f t="shared" si="4"/>
        <v>837375</v>
      </c>
    </row>
    <row r="8" spans="1:8" ht="26.25" thickBot="1" x14ac:dyDescent="0.3">
      <c r="A8" s="12">
        <v>206</v>
      </c>
      <c r="B8" s="13" t="s">
        <v>12</v>
      </c>
      <c r="C8" s="11">
        <v>660000</v>
      </c>
      <c r="D8" s="11">
        <f t="shared" si="0"/>
        <v>303600</v>
      </c>
      <c r="E8" s="11">
        <f t="shared" si="1"/>
        <v>52800</v>
      </c>
      <c r="F8" s="10">
        <f t="shared" si="2"/>
        <v>1016400</v>
      </c>
      <c r="G8" s="11">
        <f t="shared" si="3"/>
        <v>132132</v>
      </c>
      <c r="H8" s="25">
        <f t="shared" si="4"/>
        <v>884268</v>
      </c>
    </row>
    <row r="9" spans="1:8" ht="26.25" thickBot="1" x14ac:dyDescent="0.3">
      <c r="A9" s="12">
        <v>207</v>
      </c>
      <c r="B9" s="13" t="s">
        <v>13</v>
      </c>
      <c r="C9" s="11">
        <v>695000</v>
      </c>
      <c r="D9" s="11">
        <f t="shared" si="0"/>
        <v>319700</v>
      </c>
      <c r="E9" s="11">
        <f t="shared" si="1"/>
        <v>55600</v>
      </c>
      <c r="F9" s="10">
        <f t="shared" si="2"/>
        <v>1070300</v>
      </c>
      <c r="G9" s="11">
        <f t="shared" si="3"/>
        <v>139139</v>
      </c>
      <c r="H9" s="25">
        <f t="shared" si="4"/>
        <v>931161</v>
      </c>
    </row>
    <row r="10" spans="1:8" ht="26.25" thickBot="1" x14ac:dyDescent="0.3">
      <c r="A10" s="12">
        <v>208</v>
      </c>
      <c r="B10" s="13" t="s">
        <v>14</v>
      </c>
      <c r="C10" s="11">
        <v>730000</v>
      </c>
      <c r="D10" s="11">
        <f t="shared" si="0"/>
        <v>335800</v>
      </c>
      <c r="E10" s="11">
        <f t="shared" si="1"/>
        <v>58400</v>
      </c>
      <c r="F10" s="10">
        <f t="shared" si="2"/>
        <v>1124200</v>
      </c>
      <c r="G10" s="11">
        <f t="shared" si="3"/>
        <v>146146</v>
      </c>
      <c r="H10" s="25">
        <f t="shared" si="4"/>
        <v>978054</v>
      </c>
    </row>
    <row r="11" spans="1:8" ht="26.25" thickBot="1" x14ac:dyDescent="0.3">
      <c r="A11" s="12">
        <v>209</v>
      </c>
      <c r="B11" s="13" t="s">
        <v>15</v>
      </c>
      <c r="C11" s="11">
        <v>765000</v>
      </c>
      <c r="D11" s="11">
        <f t="shared" si="0"/>
        <v>351900</v>
      </c>
      <c r="E11" s="11">
        <f t="shared" si="1"/>
        <v>61200</v>
      </c>
      <c r="F11" s="10">
        <f t="shared" si="2"/>
        <v>1178100</v>
      </c>
      <c r="G11" s="11">
        <f t="shared" si="3"/>
        <v>153153</v>
      </c>
      <c r="H11" s="25">
        <f t="shared" si="4"/>
        <v>1024947</v>
      </c>
    </row>
    <row r="12" spans="1:8" ht="26.25" thickBot="1" x14ac:dyDescent="0.3">
      <c r="A12" s="12">
        <v>210</v>
      </c>
      <c r="B12" s="13" t="s">
        <v>16</v>
      </c>
      <c r="C12" s="11">
        <v>800000</v>
      </c>
      <c r="D12" s="11">
        <f t="shared" si="0"/>
        <v>368000</v>
      </c>
      <c r="E12" s="11">
        <f t="shared" si="1"/>
        <v>64000</v>
      </c>
      <c r="F12" s="10">
        <f t="shared" si="2"/>
        <v>1232000</v>
      </c>
      <c r="G12" s="11">
        <f t="shared" si="3"/>
        <v>160160</v>
      </c>
      <c r="H12" s="25">
        <f t="shared" si="4"/>
        <v>1071840</v>
      </c>
    </row>
    <row r="13" spans="1:8" ht="26.25" thickBot="1" x14ac:dyDescent="0.3">
      <c r="A13" s="12">
        <v>211</v>
      </c>
      <c r="B13" s="13" t="s">
        <v>17</v>
      </c>
      <c r="C13" s="11">
        <v>835000</v>
      </c>
      <c r="D13" s="11">
        <f t="shared" si="0"/>
        <v>384100</v>
      </c>
      <c r="E13" s="11">
        <f t="shared" si="1"/>
        <v>66800</v>
      </c>
      <c r="F13" s="10">
        <f t="shared" si="2"/>
        <v>1285900</v>
      </c>
      <c r="G13" s="11">
        <f t="shared" si="3"/>
        <v>167167</v>
      </c>
      <c r="H13" s="25">
        <f t="shared" si="4"/>
        <v>1118733</v>
      </c>
    </row>
    <row r="14" spans="1:8" ht="26.25" thickBot="1" x14ac:dyDescent="0.3">
      <c r="A14" s="12">
        <v>212</v>
      </c>
      <c r="B14" s="13" t="s">
        <v>18</v>
      </c>
      <c r="C14" s="14">
        <v>870000</v>
      </c>
      <c r="D14" s="11">
        <f t="shared" si="0"/>
        <v>400200</v>
      </c>
      <c r="E14" s="11">
        <f t="shared" si="1"/>
        <v>69600</v>
      </c>
      <c r="F14" s="10">
        <f t="shared" si="2"/>
        <v>1339800</v>
      </c>
      <c r="G14" s="11">
        <f t="shared" si="3"/>
        <v>174174</v>
      </c>
      <c r="H14" s="25">
        <f t="shared" si="4"/>
        <v>1165626</v>
      </c>
    </row>
    <row r="15" spans="1:8" ht="26.25" thickBot="1" x14ac:dyDescent="0.3">
      <c r="A15" s="15">
        <v>213</v>
      </c>
      <c r="B15" s="16" t="s">
        <v>19</v>
      </c>
      <c r="C15" s="17">
        <v>905000</v>
      </c>
      <c r="D15" s="11">
        <f t="shared" si="0"/>
        <v>416300</v>
      </c>
      <c r="E15" s="11">
        <f t="shared" si="1"/>
        <v>72400</v>
      </c>
      <c r="F15" s="10">
        <f t="shared" si="2"/>
        <v>1393700</v>
      </c>
      <c r="G15" s="11">
        <f t="shared" si="3"/>
        <v>181181</v>
      </c>
      <c r="H15" s="27">
        <f t="shared" si="4"/>
        <v>1212519</v>
      </c>
    </row>
    <row r="16" spans="1:8" ht="16.5" thickTop="1" thickBot="1" x14ac:dyDescent="0.3">
      <c r="A16" s="18"/>
      <c r="B16" s="19" t="s">
        <v>20</v>
      </c>
      <c r="C16" s="20">
        <f>SUM(C3:C15)</f>
        <v>9035000</v>
      </c>
      <c r="D16" s="20">
        <f t="shared" ref="D16:H16" si="5">SUM(D3:D15)</f>
        <v>4156100</v>
      </c>
      <c r="E16" s="11">
        <f t="shared" ref="E4:E16" si="6">C16*0.05</f>
        <v>451750</v>
      </c>
      <c r="F16" s="10">
        <f t="shared" si="2"/>
        <v>13642850</v>
      </c>
      <c r="G16" s="20">
        <f t="shared" si="5"/>
        <v>1808807</v>
      </c>
      <c r="H16" s="20">
        <f t="shared" si="5"/>
        <v>12105093</v>
      </c>
    </row>
    <row r="17" spans="1:8" ht="39.75" thickTop="1" thickBot="1" x14ac:dyDescent="0.3">
      <c r="A17" s="21"/>
      <c r="B17" s="22" t="s">
        <v>21</v>
      </c>
      <c r="C17" s="23">
        <f>MAX(C3:C15)</f>
        <v>905000</v>
      </c>
      <c r="D17" s="21"/>
      <c r="E17" s="21"/>
      <c r="F17" s="21"/>
      <c r="G17" s="21"/>
      <c r="H17" s="21"/>
    </row>
    <row r="18" spans="1:8" ht="39.75" thickTop="1" thickBot="1" x14ac:dyDescent="0.3">
      <c r="A18" s="21"/>
      <c r="B18" s="22" t="s">
        <v>22</v>
      </c>
      <c r="C18" s="23">
        <f>MIN(C3:C15)</f>
        <v>485000</v>
      </c>
      <c r="D18" s="21"/>
      <c r="E18" s="21"/>
      <c r="F18" s="21"/>
      <c r="G18" s="21"/>
      <c r="H18" s="21"/>
    </row>
    <row r="19" spans="1:8" ht="27" thickTop="1" thickBot="1" x14ac:dyDescent="0.3">
      <c r="A19" s="21"/>
      <c r="B19" s="22" t="s">
        <v>23</v>
      </c>
      <c r="C19" s="23">
        <f xml:space="preserve"> AVERAGE(C3:C15)</f>
        <v>695000</v>
      </c>
      <c r="D19" s="21"/>
      <c r="E19" s="21"/>
      <c r="F19" s="21"/>
      <c r="G19" s="21"/>
      <c r="H19" s="21"/>
    </row>
    <row r="20" spans="1:8" ht="15.75" thickTop="1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8984-8CFA-4FDC-BF9A-B05331255D2F}">
  <dimension ref="A1:H20"/>
  <sheetViews>
    <sheetView workbookViewId="0">
      <selection activeCell="J7" sqref="J7"/>
    </sheetView>
  </sheetViews>
  <sheetFormatPr defaultRowHeight="15" x14ac:dyDescent="0.25"/>
  <sheetData>
    <row r="1" spans="1:8" ht="65.25" thickTop="1" thickBot="1" x14ac:dyDescent="0.3">
      <c r="A1" s="1" t="s">
        <v>0</v>
      </c>
      <c r="B1" s="2" t="s">
        <v>1</v>
      </c>
      <c r="C1" s="2" t="s">
        <v>2</v>
      </c>
      <c r="D1" s="3" t="s">
        <v>25</v>
      </c>
      <c r="E1" s="3" t="s">
        <v>24</v>
      </c>
      <c r="F1" s="2" t="s">
        <v>4</v>
      </c>
      <c r="G1" s="3" t="s">
        <v>5</v>
      </c>
      <c r="H1" s="2" t="s">
        <v>6</v>
      </c>
    </row>
    <row r="2" spans="1:8" ht="16.5" thickTop="1" thickBot="1" x14ac:dyDescent="0.3">
      <c r="A2" s="4"/>
      <c r="B2" s="5"/>
      <c r="C2" s="5"/>
      <c r="D2" s="28">
        <v>0.46</v>
      </c>
      <c r="E2" s="29">
        <v>0.08</v>
      </c>
      <c r="F2" s="7"/>
      <c r="G2" s="6">
        <v>0.13</v>
      </c>
      <c r="H2" s="7"/>
    </row>
    <row r="3" spans="1:8" ht="27" thickTop="1" thickBot="1" x14ac:dyDescent="0.3">
      <c r="A3" s="8">
        <v>201</v>
      </c>
      <c r="B3" s="9" t="s">
        <v>7</v>
      </c>
      <c r="C3" s="10">
        <v>485000</v>
      </c>
      <c r="D3" s="11">
        <f>C3*0.46</f>
        <v>223100</v>
      </c>
      <c r="E3" s="11">
        <f>C3*0.08</f>
        <v>38800</v>
      </c>
      <c r="F3" s="10">
        <f>C3+D3+E3</f>
        <v>746900</v>
      </c>
      <c r="G3" s="11">
        <f>F3*0.13</f>
        <v>97097</v>
      </c>
      <c r="H3" s="26">
        <f>F3-G3</f>
        <v>649803</v>
      </c>
    </row>
    <row r="4" spans="1:8" ht="26.25" thickBot="1" x14ac:dyDescent="0.3">
      <c r="A4" s="12">
        <v>202</v>
      </c>
      <c r="B4" s="13" t="s">
        <v>8</v>
      </c>
      <c r="C4" s="11">
        <v>520000</v>
      </c>
      <c r="D4" s="11">
        <f t="shared" ref="D4:D15" si="0">C4*0.46</f>
        <v>239200</v>
      </c>
      <c r="E4" s="11">
        <f t="shared" ref="E4:E15" si="1">C4*0.08</f>
        <v>41600</v>
      </c>
      <c r="F4" s="10">
        <f t="shared" ref="F4:F16" si="2">C4+D4+E4</f>
        <v>800800</v>
      </c>
      <c r="G4" s="11">
        <f t="shared" ref="G4:G15" si="3">F4*0.13</f>
        <v>104104</v>
      </c>
      <c r="H4" s="26">
        <f t="shared" ref="H4:H15" si="4">F4-G4</f>
        <v>696696</v>
      </c>
    </row>
    <row r="5" spans="1:8" ht="26.25" thickBot="1" x14ac:dyDescent="0.3">
      <c r="A5" s="12">
        <v>203</v>
      </c>
      <c r="B5" s="13" t="s">
        <v>9</v>
      </c>
      <c r="C5" s="11">
        <v>555000</v>
      </c>
      <c r="D5" s="11">
        <f t="shared" si="0"/>
        <v>255300</v>
      </c>
      <c r="E5" s="11">
        <f t="shared" si="1"/>
        <v>44400</v>
      </c>
      <c r="F5" s="10">
        <f t="shared" si="2"/>
        <v>854700</v>
      </c>
      <c r="G5" s="11">
        <f t="shared" si="3"/>
        <v>111111</v>
      </c>
      <c r="H5" s="26">
        <f t="shared" si="4"/>
        <v>743589</v>
      </c>
    </row>
    <row r="6" spans="1:8" ht="26.25" thickBot="1" x14ac:dyDescent="0.3">
      <c r="A6" s="12">
        <v>204</v>
      </c>
      <c r="B6" s="13" t="s">
        <v>10</v>
      </c>
      <c r="C6" s="11">
        <v>590000</v>
      </c>
      <c r="D6" s="11">
        <f t="shared" si="0"/>
        <v>271400</v>
      </c>
      <c r="E6" s="11">
        <f t="shared" si="1"/>
        <v>47200</v>
      </c>
      <c r="F6" s="10">
        <f t="shared" si="2"/>
        <v>908600</v>
      </c>
      <c r="G6" s="11">
        <f t="shared" si="3"/>
        <v>118118</v>
      </c>
      <c r="H6" s="26">
        <f t="shared" si="4"/>
        <v>790482</v>
      </c>
    </row>
    <row r="7" spans="1:8" ht="26.25" thickBot="1" x14ac:dyDescent="0.3">
      <c r="A7" s="12">
        <v>205</v>
      </c>
      <c r="B7" s="13" t="s">
        <v>11</v>
      </c>
      <c r="C7" s="11">
        <v>625000</v>
      </c>
      <c r="D7" s="11">
        <f t="shared" si="0"/>
        <v>287500</v>
      </c>
      <c r="E7" s="11">
        <f t="shared" si="1"/>
        <v>50000</v>
      </c>
      <c r="F7" s="10">
        <f t="shared" si="2"/>
        <v>962500</v>
      </c>
      <c r="G7" s="11">
        <f t="shared" si="3"/>
        <v>125125</v>
      </c>
      <c r="H7" s="25">
        <f t="shared" si="4"/>
        <v>837375</v>
      </c>
    </row>
    <row r="8" spans="1:8" ht="26.25" thickBot="1" x14ac:dyDescent="0.3">
      <c r="A8" s="12">
        <v>206</v>
      </c>
      <c r="B8" s="13" t="s">
        <v>12</v>
      </c>
      <c r="C8" s="11">
        <v>660000</v>
      </c>
      <c r="D8" s="11">
        <f t="shared" si="0"/>
        <v>303600</v>
      </c>
      <c r="E8" s="11">
        <f t="shared" si="1"/>
        <v>52800</v>
      </c>
      <c r="F8" s="10">
        <f t="shared" si="2"/>
        <v>1016400</v>
      </c>
      <c r="G8" s="11">
        <f t="shared" si="3"/>
        <v>132132</v>
      </c>
      <c r="H8" s="25">
        <f t="shared" si="4"/>
        <v>884268</v>
      </c>
    </row>
    <row r="9" spans="1:8" ht="26.25" thickBot="1" x14ac:dyDescent="0.3">
      <c r="A9" s="12">
        <v>207</v>
      </c>
      <c r="B9" s="13" t="s">
        <v>13</v>
      </c>
      <c r="C9" s="11">
        <v>695000</v>
      </c>
      <c r="D9" s="11">
        <f t="shared" si="0"/>
        <v>319700</v>
      </c>
      <c r="E9" s="11">
        <f t="shared" si="1"/>
        <v>55600</v>
      </c>
      <c r="F9" s="10">
        <f t="shared" si="2"/>
        <v>1070300</v>
      </c>
      <c r="G9" s="11">
        <f t="shared" si="3"/>
        <v>139139</v>
      </c>
      <c r="H9" s="25">
        <f t="shared" si="4"/>
        <v>931161</v>
      </c>
    </row>
    <row r="10" spans="1:8" ht="26.25" thickBot="1" x14ac:dyDescent="0.3">
      <c r="A10" s="12">
        <v>208</v>
      </c>
      <c r="B10" s="13" t="s">
        <v>14</v>
      </c>
      <c r="C10" s="11">
        <v>730000</v>
      </c>
      <c r="D10" s="11">
        <f t="shared" si="0"/>
        <v>335800</v>
      </c>
      <c r="E10" s="11">
        <f t="shared" si="1"/>
        <v>58400</v>
      </c>
      <c r="F10" s="10">
        <f t="shared" si="2"/>
        <v>1124200</v>
      </c>
      <c r="G10" s="11">
        <f t="shared" si="3"/>
        <v>146146</v>
      </c>
      <c r="H10" s="25">
        <f t="shared" si="4"/>
        <v>978054</v>
      </c>
    </row>
    <row r="11" spans="1:8" ht="26.25" thickBot="1" x14ac:dyDescent="0.3">
      <c r="A11" s="12">
        <v>209</v>
      </c>
      <c r="B11" s="13" t="s">
        <v>15</v>
      </c>
      <c r="C11" s="11">
        <v>765000</v>
      </c>
      <c r="D11" s="11">
        <f t="shared" si="0"/>
        <v>351900</v>
      </c>
      <c r="E11" s="11">
        <f t="shared" si="1"/>
        <v>61200</v>
      </c>
      <c r="F11" s="10">
        <f t="shared" si="2"/>
        <v>1178100</v>
      </c>
      <c r="G11" s="11">
        <f t="shared" si="3"/>
        <v>153153</v>
      </c>
      <c r="H11" s="25">
        <f t="shared" si="4"/>
        <v>1024947</v>
      </c>
    </row>
    <row r="12" spans="1:8" ht="26.25" thickBot="1" x14ac:dyDescent="0.3">
      <c r="A12" s="12">
        <v>210</v>
      </c>
      <c r="B12" s="13" t="s">
        <v>16</v>
      </c>
      <c r="C12" s="11">
        <v>800000</v>
      </c>
      <c r="D12" s="11">
        <f t="shared" si="0"/>
        <v>368000</v>
      </c>
      <c r="E12" s="11">
        <f t="shared" si="1"/>
        <v>64000</v>
      </c>
      <c r="F12" s="10">
        <f t="shared" si="2"/>
        <v>1232000</v>
      </c>
      <c r="G12" s="11">
        <f t="shared" si="3"/>
        <v>160160</v>
      </c>
      <c r="H12" s="25">
        <f t="shared" si="4"/>
        <v>1071840</v>
      </c>
    </row>
    <row r="13" spans="1:8" ht="26.25" thickBot="1" x14ac:dyDescent="0.3">
      <c r="A13" s="12">
        <v>211</v>
      </c>
      <c r="B13" s="13" t="s">
        <v>17</v>
      </c>
      <c r="C13" s="11">
        <v>835000</v>
      </c>
      <c r="D13" s="11">
        <f t="shared" si="0"/>
        <v>384100</v>
      </c>
      <c r="E13" s="11">
        <f t="shared" si="1"/>
        <v>66800</v>
      </c>
      <c r="F13" s="10">
        <f t="shared" si="2"/>
        <v>1285900</v>
      </c>
      <c r="G13" s="11">
        <f t="shared" si="3"/>
        <v>167167</v>
      </c>
      <c r="H13" s="25">
        <f t="shared" si="4"/>
        <v>1118733</v>
      </c>
    </row>
    <row r="14" spans="1:8" ht="26.25" thickBot="1" x14ac:dyDescent="0.3">
      <c r="A14" s="12">
        <v>212</v>
      </c>
      <c r="B14" s="13" t="s">
        <v>18</v>
      </c>
      <c r="C14" s="14">
        <v>870000</v>
      </c>
      <c r="D14" s="11">
        <f t="shared" si="0"/>
        <v>400200</v>
      </c>
      <c r="E14" s="11">
        <f t="shared" si="1"/>
        <v>69600</v>
      </c>
      <c r="F14" s="10">
        <f t="shared" si="2"/>
        <v>1339800</v>
      </c>
      <c r="G14" s="11">
        <f t="shared" si="3"/>
        <v>174174</v>
      </c>
      <c r="H14" s="25">
        <f t="shared" si="4"/>
        <v>1165626</v>
      </c>
    </row>
    <row r="15" spans="1:8" ht="26.25" thickBot="1" x14ac:dyDescent="0.3">
      <c r="A15" s="15">
        <v>213</v>
      </c>
      <c r="B15" s="16" t="s">
        <v>19</v>
      </c>
      <c r="C15" s="17">
        <v>905000</v>
      </c>
      <c r="D15" s="11">
        <f t="shared" si="0"/>
        <v>416300</v>
      </c>
      <c r="E15" s="11">
        <f t="shared" si="1"/>
        <v>72400</v>
      </c>
      <c r="F15" s="10">
        <f t="shared" si="2"/>
        <v>1393700</v>
      </c>
      <c r="G15" s="11">
        <f t="shared" si="3"/>
        <v>181181</v>
      </c>
      <c r="H15" s="27">
        <f t="shared" si="4"/>
        <v>1212519</v>
      </c>
    </row>
    <row r="16" spans="1:8" ht="16.5" thickTop="1" thickBot="1" x14ac:dyDescent="0.3">
      <c r="A16" s="18"/>
      <c r="B16" s="19" t="s">
        <v>20</v>
      </c>
      <c r="C16" s="20">
        <f>SUM(C3:C15)</f>
        <v>9035000</v>
      </c>
      <c r="D16" s="20">
        <f t="shared" ref="D16:H16" si="5">SUM(D3:D15)</f>
        <v>4156100</v>
      </c>
      <c r="E16" s="11">
        <f t="shared" ref="E16:E19" si="6">C16*0.05</f>
        <v>451750</v>
      </c>
      <c r="F16" s="10">
        <f t="shared" si="2"/>
        <v>13642850</v>
      </c>
      <c r="G16" s="20">
        <f t="shared" si="5"/>
        <v>1808807</v>
      </c>
      <c r="H16" s="20">
        <f t="shared" si="5"/>
        <v>12105093</v>
      </c>
    </row>
    <row r="17" spans="1:8" ht="39.75" thickTop="1" thickBot="1" x14ac:dyDescent="0.3">
      <c r="A17" s="21"/>
      <c r="B17" s="22" t="s">
        <v>21</v>
      </c>
      <c r="C17" s="23">
        <f>MAX(C3:C15)</f>
        <v>905000</v>
      </c>
      <c r="D17" s="21"/>
      <c r="E17" s="21"/>
      <c r="F17" s="21"/>
      <c r="G17" s="21"/>
      <c r="H17" s="21"/>
    </row>
    <row r="18" spans="1:8" ht="39.75" thickTop="1" thickBot="1" x14ac:dyDescent="0.3">
      <c r="A18" s="21"/>
      <c r="B18" s="22" t="s">
        <v>22</v>
      </c>
      <c r="C18" s="23">
        <f>MIN(C3:C15)</f>
        <v>485000</v>
      </c>
      <c r="D18" s="21"/>
      <c r="E18" s="21"/>
      <c r="F18" s="21"/>
      <c r="G18" s="21"/>
      <c r="H18" s="21"/>
    </row>
    <row r="19" spans="1:8" ht="27" thickTop="1" thickBot="1" x14ac:dyDescent="0.3">
      <c r="A19" s="21"/>
      <c r="B19" s="22" t="s">
        <v>23</v>
      </c>
      <c r="C19" s="23">
        <f xml:space="preserve"> AVERAGE(C3:C15)</f>
        <v>695000</v>
      </c>
      <c r="D19" s="21"/>
      <c r="E19" s="21"/>
      <c r="F19" s="21"/>
      <c r="G19" s="21"/>
      <c r="H19" s="21"/>
    </row>
    <row r="20" spans="1:8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45F3-E1AF-4A94-BC49-8D2AC891CD44}">
  <dimension ref="A1:F32"/>
  <sheetViews>
    <sheetView tabSelected="1" topLeftCell="A16" workbookViewId="0">
      <selection activeCell="J33" sqref="J33"/>
    </sheetView>
  </sheetViews>
  <sheetFormatPr defaultRowHeight="15" outlineLevelRow="2" x14ac:dyDescent="0.25"/>
  <cols>
    <col min="4" max="4" width="10.28515625" bestFit="1" customWidth="1"/>
  </cols>
  <sheetData>
    <row r="1" spans="1:6" ht="28.5" customHeight="1" thickBot="1" x14ac:dyDescent="0.3">
      <c r="A1" s="32" t="s">
        <v>26</v>
      </c>
      <c r="B1" s="33"/>
      <c r="C1" s="33"/>
      <c r="D1" s="33"/>
      <c r="E1" s="33"/>
      <c r="F1" s="34"/>
    </row>
    <row r="2" spans="1:6" ht="15.75" outlineLevel="2" thickBot="1" x14ac:dyDescent="0.3">
      <c r="A2" s="35" t="s">
        <v>27</v>
      </c>
      <c r="B2" s="36"/>
      <c r="C2" s="36"/>
      <c r="D2" s="36"/>
      <c r="E2" s="36"/>
      <c r="F2" s="37"/>
    </row>
    <row r="3" spans="1:6" ht="16.5" outlineLevel="1" thickTop="1" thickBot="1" x14ac:dyDescent="0.3">
      <c r="A3" s="39" t="s">
        <v>32</v>
      </c>
      <c r="B3" s="38">
        <f>SUBTOTAL(9,B2:B2)</f>
        <v>0</v>
      </c>
      <c r="C3" s="38">
        <f>SUBTOTAL(9,C2:C2)</f>
        <v>0</v>
      </c>
      <c r="D3" s="38">
        <f>SUBTOTAL(9,D2:D2)</f>
        <v>0</v>
      </c>
      <c r="E3" s="38">
        <f>SUBTOTAL(9,E2:E2)</f>
        <v>0</v>
      </c>
      <c r="F3" s="38">
        <f>SUBTOTAL(9,F2:F2)</f>
        <v>0</v>
      </c>
    </row>
    <row r="4" spans="1:6" ht="39.75" outlineLevel="2" thickTop="1" thickBot="1" x14ac:dyDescent="0.3">
      <c r="A4" s="30" t="s">
        <v>0</v>
      </c>
      <c r="B4" s="31" t="s">
        <v>1</v>
      </c>
      <c r="C4" s="31" t="s">
        <v>28</v>
      </c>
      <c r="D4" s="31" t="s">
        <v>4</v>
      </c>
      <c r="E4" s="31" t="s">
        <v>5</v>
      </c>
      <c r="F4" s="31" t="s">
        <v>6</v>
      </c>
    </row>
    <row r="5" spans="1:6" ht="15.75" outlineLevel="1" thickTop="1" x14ac:dyDescent="0.25">
      <c r="A5" s="40" t="s">
        <v>33</v>
      </c>
      <c r="B5" s="41">
        <f>SUBTOTAL(9,B4:B4)</f>
        <v>0</v>
      </c>
      <c r="C5" s="41">
        <f>SUBTOTAL(9,C4:C4)</f>
        <v>0</v>
      </c>
      <c r="D5" s="41">
        <f>SUBTOTAL(9,D4:D4)</f>
        <v>0</v>
      </c>
      <c r="E5" s="41">
        <f>SUBTOTAL(9,E4:E4)</f>
        <v>0</v>
      </c>
      <c r="F5" s="41">
        <f>SUBTOTAL(9,F4:F4)</f>
        <v>0</v>
      </c>
    </row>
    <row r="6" spans="1:6" ht="39" outlineLevel="2" thickBot="1" x14ac:dyDescent="0.3">
      <c r="A6" s="12">
        <v>204</v>
      </c>
      <c r="B6" s="13" t="s">
        <v>10</v>
      </c>
      <c r="C6" s="13" t="s">
        <v>29</v>
      </c>
      <c r="D6" s="11">
        <f>'Зарплата январь'!E3 + 'Заплата февраль'!E3 + 'Зарплата март'!E3</f>
        <v>679000</v>
      </c>
      <c r="E6" s="11">
        <f>'Зарплата январь'!G3 + 'Заплата февраль'!G3 + 'Зарплата март'!G3</f>
        <v>716199.5</v>
      </c>
      <c r="F6" s="11">
        <f>'Зарплата январь'!H3+'Заплата февраль'!H3+'Зарплата март'!H3</f>
        <v>1206777</v>
      </c>
    </row>
    <row r="7" spans="1:6" ht="15.75" outlineLevel="1" thickBot="1" x14ac:dyDescent="0.3">
      <c r="A7" s="42" t="s">
        <v>34</v>
      </c>
      <c r="B7" s="13">
        <f>SUBTOTAL(9,B6:B6)</f>
        <v>0</v>
      </c>
      <c r="C7" s="13">
        <f>SUBTOTAL(9,C6:C6)</f>
        <v>0</v>
      </c>
      <c r="D7" s="11">
        <f>SUBTOTAL(9,D6:D6)</f>
        <v>679000</v>
      </c>
      <c r="E7" s="11">
        <f>SUBTOTAL(9,E6:E6)</f>
        <v>716199.5</v>
      </c>
      <c r="F7" s="11">
        <f>SUBTOTAL(9,F6:F6)</f>
        <v>1206777</v>
      </c>
    </row>
    <row r="8" spans="1:6" ht="39" outlineLevel="2" thickBot="1" x14ac:dyDescent="0.3">
      <c r="A8" s="12">
        <v>210</v>
      </c>
      <c r="B8" s="13" t="s">
        <v>16</v>
      </c>
      <c r="C8" s="13" t="s">
        <v>29</v>
      </c>
      <c r="D8" s="11">
        <f>'Зарплата январь'!E4 + 'Заплата февраль'!E4 + 'Зарплата март'!E4</f>
        <v>728000</v>
      </c>
      <c r="E8" s="11">
        <f>'Зарплата январь'!G4 + 'Заплата февраль'!G4 + 'Зарплата март'!G4</f>
        <v>767884</v>
      </c>
      <c r="F8" s="11">
        <f>'Зарплата январь'!H4+'Заплата февраль'!H4+'Зарплата март'!H4</f>
        <v>1293864</v>
      </c>
    </row>
    <row r="9" spans="1:6" ht="15.75" outlineLevel="1" thickBot="1" x14ac:dyDescent="0.3">
      <c r="A9" s="42" t="s">
        <v>35</v>
      </c>
      <c r="B9" s="13">
        <f>SUBTOTAL(9,B8:B8)</f>
        <v>0</v>
      </c>
      <c r="C9" s="13">
        <f>SUBTOTAL(9,C8:C8)</f>
        <v>0</v>
      </c>
      <c r="D9" s="11">
        <f>SUBTOTAL(9,D8:D8)</f>
        <v>728000</v>
      </c>
      <c r="E9" s="11">
        <f>SUBTOTAL(9,E8:E8)</f>
        <v>767884</v>
      </c>
      <c r="F9" s="11">
        <f>SUBTOTAL(9,F8:F8)</f>
        <v>1293864</v>
      </c>
    </row>
    <row r="10" spans="1:6" ht="39" outlineLevel="2" thickBot="1" x14ac:dyDescent="0.3">
      <c r="A10" s="12">
        <v>208</v>
      </c>
      <c r="B10" s="13" t="s">
        <v>14</v>
      </c>
      <c r="C10" s="13" t="s">
        <v>30</v>
      </c>
      <c r="D10" s="11">
        <f>'Зарплата январь'!E5 + 'Заплата февраль'!E5 + 'Зарплата март'!E5</f>
        <v>777000</v>
      </c>
      <c r="E10" s="11">
        <f>'Зарплата январь'!G5 + 'Заплата февраль'!G5 + 'Зарплата март'!G5</f>
        <v>819568.5</v>
      </c>
      <c r="F10" s="11">
        <f>'Зарплата январь'!H5+'Заплата февраль'!H5+'Зарплата март'!H5</f>
        <v>1380951</v>
      </c>
    </row>
    <row r="11" spans="1:6" ht="15.75" outlineLevel="1" thickBot="1" x14ac:dyDescent="0.3">
      <c r="A11" s="42" t="s">
        <v>36</v>
      </c>
      <c r="B11" s="13">
        <f>SUBTOTAL(9,B10:B10)</f>
        <v>0</v>
      </c>
      <c r="C11" s="13">
        <f>SUBTOTAL(9,C10:C10)</f>
        <v>0</v>
      </c>
      <c r="D11" s="11">
        <f>SUBTOTAL(9,D10:D10)</f>
        <v>777000</v>
      </c>
      <c r="E11" s="11">
        <f>SUBTOTAL(9,E10:E10)</f>
        <v>819568.5</v>
      </c>
      <c r="F11" s="11">
        <f>SUBTOTAL(9,F10:F10)</f>
        <v>1380951</v>
      </c>
    </row>
    <row r="12" spans="1:6" ht="26.25" outlineLevel="2" thickBot="1" x14ac:dyDescent="0.3">
      <c r="A12" s="12">
        <v>201</v>
      </c>
      <c r="B12" s="13" t="s">
        <v>7</v>
      </c>
      <c r="C12" s="13" t="s">
        <v>31</v>
      </c>
      <c r="D12" s="11">
        <f>'Зарплата январь'!E6 + 'Заплата февраль'!E6 + 'Зарплата март'!E6</f>
        <v>826000</v>
      </c>
      <c r="E12" s="11">
        <f>'Зарплата январь'!G6 + 'Заплата февраль'!G6 + 'Зарплата март'!G6</f>
        <v>871253</v>
      </c>
      <c r="F12" s="11">
        <f>'Зарплата январь'!H6+'Заплата февраль'!H6+'Зарплата март'!H6</f>
        <v>1468038</v>
      </c>
    </row>
    <row r="13" spans="1:6" ht="15.75" outlineLevel="1" thickBot="1" x14ac:dyDescent="0.3">
      <c r="A13" s="42" t="s">
        <v>37</v>
      </c>
      <c r="B13" s="13">
        <f>SUBTOTAL(9,B12:B12)</f>
        <v>0</v>
      </c>
      <c r="C13" s="13">
        <f>SUBTOTAL(9,C12:C12)</f>
        <v>0</v>
      </c>
      <c r="D13" s="11">
        <f>SUBTOTAL(9,D12:D12)</f>
        <v>826000</v>
      </c>
      <c r="E13" s="11">
        <f>SUBTOTAL(9,E12:E12)</f>
        <v>871253</v>
      </c>
      <c r="F13" s="11">
        <f>SUBTOTAL(9,F12:F12)</f>
        <v>1468038</v>
      </c>
    </row>
    <row r="14" spans="1:6" ht="39" outlineLevel="2" thickBot="1" x14ac:dyDescent="0.3">
      <c r="A14" s="12">
        <v>206</v>
      </c>
      <c r="B14" s="13" t="s">
        <v>12</v>
      </c>
      <c r="C14" s="13" t="s">
        <v>30</v>
      </c>
      <c r="D14" s="11">
        <f>'Зарплата январь'!E7 + 'Заплата февраль'!E7 + 'Зарплата март'!E7</f>
        <v>875000</v>
      </c>
      <c r="E14" s="11">
        <f>'Зарплата январь'!G7 + 'Заплата февраль'!G7 + 'Зарплата март'!G7</f>
        <v>922937.5</v>
      </c>
      <c r="F14" s="11">
        <f>'Зарплата январь'!H7+'Заплата февраль'!H7+'Зарплата март'!H7</f>
        <v>1555125</v>
      </c>
    </row>
    <row r="15" spans="1:6" ht="15.75" outlineLevel="1" thickBot="1" x14ac:dyDescent="0.3">
      <c r="A15" s="42" t="s">
        <v>38</v>
      </c>
      <c r="B15" s="13">
        <f>SUBTOTAL(9,B14:B14)</f>
        <v>0</v>
      </c>
      <c r="C15" s="13">
        <f>SUBTOTAL(9,C14:C14)</f>
        <v>0</v>
      </c>
      <c r="D15" s="11">
        <f>SUBTOTAL(9,D14:D14)</f>
        <v>875000</v>
      </c>
      <c r="E15" s="11">
        <f>SUBTOTAL(9,E14:E14)</f>
        <v>922937.5</v>
      </c>
      <c r="F15" s="11">
        <f>SUBTOTAL(9,F14:F14)</f>
        <v>1555125</v>
      </c>
    </row>
    <row r="16" spans="1:6" ht="39" outlineLevel="2" thickBot="1" x14ac:dyDescent="0.3">
      <c r="A16" s="12">
        <v>205</v>
      </c>
      <c r="B16" s="13" t="s">
        <v>11</v>
      </c>
      <c r="C16" s="13" t="s">
        <v>30</v>
      </c>
      <c r="D16" s="11">
        <f>'Зарплата январь'!E8 + 'Заплата февраль'!E8 + 'Зарплата март'!E8</f>
        <v>924000</v>
      </c>
      <c r="E16" s="11">
        <f>'Зарплата январь'!G8 + 'Заплата февраль'!G8 + 'Зарплата март'!G8</f>
        <v>974622</v>
      </c>
      <c r="F16" s="11">
        <f>'Зарплата январь'!H8+'Заплата февраль'!H8+'Зарплата март'!H8</f>
        <v>1642212</v>
      </c>
    </row>
    <row r="17" spans="1:6" ht="15.75" outlineLevel="1" thickBot="1" x14ac:dyDescent="0.3">
      <c r="A17" s="42" t="s">
        <v>39</v>
      </c>
      <c r="B17" s="13">
        <f>SUBTOTAL(9,B16:B16)</f>
        <v>0</v>
      </c>
      <c r="C17" s="13">
        <f>SUBTOTAL(9,C16:C16)</f>
        <v>0</v>
      </c>
      <c r="D17" s="11">
        <f>SUBTOTAL(9,D16:D16)</f>
        <v>924000</v>
      </c>
      <c r="E17" s="11">
        <f>SUBTOTAL(9,E16:E16)</f>
        <v>974622</v>
      </c>
      <c r="F17" s="11">
        <f>SUBTOTAL(9,F16:F16)</f>
        <v>1642212</v>
      </c>
    </row>
    <row r="18" spans="1:6" ht="39" outlineLevel="2" thickBot="1" x14ac:dyDescent="0.3">
      <c r="A18" s="12">
        <v>213</v>
      </c>
      <c r="B18" s="13" t="s">
        <v>19</v>
      </c>
      <c r="C18" s="13" t="s">
        <v>29</v>
      </c>
      <c r="D18" s="11">
        <f>'Зарплата январь'!E9 + 'Заплата февраль'!E9 + 'Зарплата март'!E9</f>
        <v>973000</v>
      </c>
      <c r="E18" s="11">
        <f>'Зарплата январь'!G9 + 'Заплата февраль'!G9 + 'Зарплата март'!G9</f>
        <v>1026306.5</v>
      </c>
      <c r="F18" s="11">
        <f>'Зарплата январь'!H9+'Заплата февраль'!H9+'Зарплата март'!H9</f>
        <v>1729299</v>
      </c>
    </row>
    <row r="19" spans="1:6" ht="15.75" outlineLevel="1" thickBot="1" x14ac:dyDescent="0.3">
      <c r="A19" s="42" t="s">
        <v>40</v>
      </c>
      <c r="B19" s="13">
        <f>SUBTOTAL(9,B18:B18)</f>
        <v>0</v>
      </c>
      <c r="C19" s="13">
        <f>SUBTOTAL(9,C18:C18)</f>
        <v>0</v>
      </c>
      <c r="D19" s="11">
        <f>SUBTOTAL(9,D18:D18)</f>
        <v>973000</v>
      </c>
      <c r="E19" s="11">
        <f>SUBTOTAL(9,E18:E18)</f>
        <v>1026306.5</v>
      </c>
      <c r="F19" s="11">
        <f>SUBTOTAL(9,F18:F18)</f>
        <v>1729299</v>
      </c>
    </row>
    <row r="20" spans="1:6" ht="39" outlineLevel="2" thickBot="1" x14ac:dyDescent="0.3">
      <c r="A20" s="12">
        <v>202</v>
      </c>
      <c r="B20" s="13" t="s">
        <v>8</v>
      </c>
      <c r="C20" s="13" t="s">
        <v>29</v>
      </c>
      <c r="D20" s="11">
        <f>'Зарплата январь'!E10 + 'Заплата февраль'!E10 + 'Зарплата март'!E10</f>
        <v>1022000</v>
      </c>
      <c r="E20" s="11">
        <f>'Зарплата январь'!G10 + 'Заплата февраль'!G10 + 'Зарплата март'!G10</f>
        <v>1077991</v>
      </c>
      <c r="F20" s="11">
        <f>'Зарплата январь'!H10+'Заплата февраль'!H10+'Зарплата март'!H10</f>
        <v>1816386</v>
      </c>
    </row>
    <row r="21" spans="1:6" ht="15.75" outlineLevel="1" thickBot="1" x14ac:dyDescent="0.3">
      <c r="A21" s="42" t="s">
        <v>41</v>
      </c>
      <c r="B21" s="13">
        <f>SUBTOTAL(9,B20:B20)</f>
        <v>0</v>
      </c>
      <c r="C21" s="13">
        <f>SUBTOTAL(9,C20:C20)</f>
        <v>0</v>
      </c>
      <c r="D21" s="11">
        <f>SUBTOTAL(9,D20:D20)</f>
        <v>1022000</v>
      </c>
      <c r="E21" s="11">
        <f>SUBTOTAL(9,E20:E20)</f>
        <v>1077991</v>
      </c>
      <c r="F21" s="11">
        <f>SUBTOTAL(9,F20:F20)</f>
        <v>1816386</v>
      </c>
    </row>
    <row r="22" spans="1:6" ht="26.25" outlineLevel="2" thickBot="1" x14ac:dyDescent="0.3">
      <c r="A22" s="12">
        <v>207</v>
      </c>
      <c r="B22" s="13" t="s">
        <v>13</v>
      </c>
      <c r="C22" s="13" t="s">
        <v>31</v>
      </c>
      <c r="D22" s="11">
        <f>'Зарплата январь'!E11 + 'Заплата февраль'!E11 + 'Зарплата март'!E11</f>
        <v>1071000</v>
      </c>
      <c r="E22" s="11">
        <f>'Зарплата январь'!G11 + 'Заплата февраль'!G11 + 'Зарплата март'!G11</f>
        <v>1129675.5</v>
      </c>
      <c r="F22" s="11">
        <f>'Зарплата январь'!H11+'Заплата февраль'!H11+'Зарплата март'!H11</f>
        <v>1903473</v>
      </c>
    </row>
    <row r="23" spans="1:6" ht="15.75" outlineLevel="1" thickBot="1" x14ac:dyDescent="0.3">
      <c r="A23" s="42" t="s">
        <v>42</v>
      </c>
      <c r="B23" s="13">
        <f>SUBTOTAL(9,B22:B22)</f>
        <v>0</v>
      </c>
      <c r="C23" s="13">
        <f>SUBTOTAL(9,C22:C22)</f>
        <v>0</v>
      </c>
      <c r="D23" s="11">
        <f>SUBTOTAL(9,D22:D22)</f>
        <v>1071000</v>
      </c>
      <c r="E23" s="11">
        <f>SUBTOTAL(9,E22:E22)</f>
        <v>1129675.5</v>
      </c>
      <c r="F23" s="11">
        <f>SUBTOTAL(9,F22:F22)</f>
        <v>1903473</v>
      </c>
    </row>
    <row r="24" spans="1:6" ht="39" outlineLevel="2" thickBot="1" x14ac:dyDescent="0.3">
      <c r="A24" s="12">
        <v>209</v>
      </c>
      <c r="B24" s="13" t="s">
        <v>15</v>
      </c>
      <c r="C24" s="13" t="s">
        <v>29</v>
      </c>
      <c r="D24" s="11">
        <f>'Зарплата январь'!E12 + 'Заплата февраль'!E12 + 'Зарплата март'!E12</f>
        <v>1120000</v>
      </c>
      <c r="E24" s="11">
        <f>'Зарплата январь'!G12 + 'Заплата февраль'!G12 + 'Зарплата март'!G12</f>
        <v>1181360</v>
      </c>
      <c r="F24" s="11">
        <f>'Зарплата январь'!H12+'Заплата февраль'!H12+'Зарплата март'!H12</f>
        <v>1990560</v>
      </c>
    </row>
    <row r="25" spans="1:6" ht="15.75" outlineLevel="1" thickBot="1" x14ac:dyDescent="0.3">
      <c r="A25" s="42" t="s">
        <v>43</v>
      </c>
      <c r="B25" s="13">
        <f>SUBTOTAL(9,B24:B24)</f>
        <v>0</v>
      </c>
      <c r="C25" s="13">
        <f>SUBTOTAL(9,C24:C24)</f>
        <v>0</v>
      </c>
      <c r="D25" s="11">
        <f>SUBTOTAL(9,D24:D24)</f>
        <v>1120000</v>
      </c>
      <c r="E25" s="11">
        <f>SUBTOTAL(9,E24:E24)</f>
        <v>1181360</v>
      </c>
      <c r="F25" s="11">
        <f>SUBTOTAL(9,F24:F24)</f>
        <v>1990560</v>
      </c>
    </row>
    <row r="26" spans="1:6" ht="26.25" outlineLevel="2" thickBot="1" x14ac:dyDescent="0.3">
      <c r="A26" s="12">
        <v>212</v>
      </c>
      <c r="B26" s="13" t="s">
        <v>18</v>
      </c>
      <c r="C26" s="13" t="s">
        <v>31</v>
      </c>
      <c r="D26" s="11">
        <f>'Зарплата январь'!E13 + 'Заплата февраль'!E13 + 'Зарплата март'!E13</f>
        <v>1169000</v>
      </c>
      <c r="E26" s="11">
        <f>'Зарплата январь'!G13 + 'Заплата февраль'!G13 + 'Зарплата март'!G13</f>
        <v>1233044.5</v>
      </c>
      <c r="F26" s="11">
        <f>'Зарплата январь'!H13+'Заплата февраль'!H13+'Зарплата март'!H13</f>
        <v>2077647</v>
      </c>
    </row>
    <row r="27" spans="1:6" ht="15.75" outlineLevel="1" thickBot="1" x14ac:dyDescent="0.3">
      <c r="A27" s="42" t="s">
        <v>44</v>
      </c>
      <c r="B27" s="13">
        <f>SUBTOTAL(9,B26:B26)</f>
        <v>0</v>
      </c>
      <c r="C27" s="13">
        <f>SUBTOTAL(9,C26:C26)</f>
        <v>0</v>
      </c>
      <c r="D27" s="11">
        <f>SUBTOTAL(9,D26:D26)</f>
        <v>1169000</v>
      </c>
      <c r="E27" s="11">
        <f>SUBTOTAL(9,E26:E26)</f>
        <v>1233044.5</v>
      </c>
      <c r="F27" s="11">
        <f>SUBTOTAL(9,F26:F26)</f>
        <v>2077647</v>
      </c>
    </row>
    <row r="28" spans="1:6" ht="39" outlineLevel="2" thickBot="1" x14ac:dyDescent="0.3">
      <c r="A28" s="12">
        <v>203</v>
      </c>
      <c r="B28" s="13" t="s">
        <v>9</v>
      </c>
      <c r="C28" s="13" t="s">
        <v>30</v>
      </c>
      <c r="D28" s="11">
        <f>'Зарплата январь'!E14 + 'Заплата февраль'!E14 + 'Зарплата март'!E14</f>
        <v>1218000</v>
      </c>
      <c r="E28" s="11">
        <f>'Зарплата январь'!G14 + 'Заплата февраль'!G14 + 'Зарплата март'!G14</f>
        <v>1284729</v>
      </c>
      <c r="F28" s="11">
        <f>'Зарплата январь'!H14+'Заплата февраль'!H14+'Зарплата март'!H14</f>
        <v>2164734</v>
      </c>
    </row>
    <row r="29" spans="1:6" ht="15.75" outlineLevel="1" thickBot="1" x14ac:dyDescent="0.3">
      <c r="A29" s="44" t="s">
        <v>45</v>
      </c>
      <c r="B29" s="43">
        <f>SUBTOTAL(9,B28:B28)</f>
        <v>0</v>
      </c>
      <c r="C29" s="43">
        <f>SUBTOTAL(9,C28:C28)</f>
        <v>0</v>
      </c>
      <c r="D29" s="11">
        <f>SUBTOTAL(9,D28:D28)</f>
        <v>1218000</v>
      </c>
      <c r="E29" s="11">
        <f>SUBTOTAL(9,E28:E28)</f>
        <v>1284729</v>
      </c>
      <c r="F29" s="11">
        <f>SUBTOTAL(9,F28:F28)</f>
        <v>2164734</v>
      </c>
    </row>
    <row r="30" spans="1:6" ht="39" outlineLevel="2" thickBot="1" x14ac:dyDescent="0.3">
      <c r="A30" s="23">
        <v>211</v>
      </c>
      <c r="B30" s="16" t="s">
        <v>17</v>
      </c>
      <c r="C30" s="16" t="s">
        <v>30</v>
      </c>
      <c r="D30" s="11">
        <f>'Зарплата январь'!E15 + 'Заплата февраль'!E15 + 'Зарплата март'!E15</f>
        <v>1267000</v>
      </c>
      <c r="E30" s="11">
        <f>'Зарплата январь'!G15 + 'Заплата февраль'!G15 + 'Зарплата март'!G15</f>
        <v>1336413.5</v>
      </c>
      <c r="F30" s="11">
        <f>'Зарплата январь'!H15+'Заплата февраль'!H15+'Зарплата март'!H15</f>
        <v>2251821</v>
      </c>
    </row>
    <row r="31" spans="1:6" ht="15.75" outlineLevel="1" thickTop="1" x14ac:dyDescent="0.25">
      <c r="A31" s="46" t="s">
        <v>46</v>
      </c>
      <c r="B31" s="45">
        <f>SUBTOTAL(9,B30:B30)</f>
        <v>0</v>
      </c>
      <c r="C31" s="45">
        <f>SUBTOTAL(9,C30:C30)</f>
        <v>0</v>
      </c>
      <c r="D31" s="24">
        <f>SUBTOTAL(9,D30:D30)</f>
        <v>1267000</v>
      </c>
      <c r="E31" s="24">
        <f>SUBTOTAL(9,E30:E30)</f>
        <v>1336413.5</v>
      </c>
      <c r="F31" s="24">
        <f>SUBTOTAL(9,F30:F30)</f>
        <v>2251821</v>
      </c>
    </row>
    <row r="32" spans="1:6" x14ac:dyDescent="0.25">
      <c r="A32" s="46" t="s">
        <v>47</v>
      </c>
      <c r="B32" s="45">
        <f>SUBTOTAL(9,B2:B30)</f>
        <v>0</v>
      </c>
      <c r="C32" s="45">
        <f>SUBTOTAL(9,C2:C30)</f>
        <v>0</v>
      </c>
      <c r="D32" s="24">
        <f>SUBTOTAL(9,D2:D30)</f>
        <v>12649000</v>
      </c>
      <c r="E32" s="24">
        <f>SUBTOTAL(9,E2:E30)</f>
        <v>13341984.5</v>
      </c>
      <c r="F32" s="24">
        <f>SUBTOTAL(9,F2:F30)</f>
        <v>22480887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Зарплата январь</vt:lpstr>
      <vt:lpstr>Заплата февраль</vt:lpstr>
      <vt:lpstr>Зарплата март</vt:lpstr>
      <vt:lpstr>Ведомость начисления зп за 1 кв</vt:lpstr>
      <vt:lpstr>Итоги за 1 квартал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2026-05-06T13:06:39Z</dcterms:modified>
</cp:coreProperties>
</file>