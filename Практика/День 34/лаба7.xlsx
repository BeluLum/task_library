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4\"/>
    </mc:Choice>
  </mc:AlternateContent>
  <xr:revisionPtr revIDLastSave="0" documentId="13_ncr:1_{3278508A-3DA4-4409-AE25-656F36E4D82F}" xr6:coauthVersionLast="47" xr6:coauthVersionMax="47" xr10:uidLastSave="{00000000-0000-0000-0000-000000000000}"/>
  <bookViews>
    <workbookView xWindow="2295" yWindow="6600" windowWidth="21600" windowHeight="1110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21" i="1" s="1"/>
  <c r="G22" i="1" s="1"/>
  <c r="G23" i="1" s="1"/>
  <c r="G24" i="1" s="1"/>
  <c r="G25" i="1" s="1"/>
  <c r="L19" i="1"/>
  <c r="L20" i="1" s="1"/>
  <c r="L21" i="1" s="1"/>
  <c r="L22" i="1" s="1"/>
  <c r="L23" i="1" s="1"/>
  <c r="L24" i="1" s="1"/>
  <c r="L25" i="1" s="1"/>
  <c r="G19" i="1"/>
  <c r="F19" i="1"/>
  <c r="F20" i="1" s="1"/>
  <c r="F21" i="1" s="1"/>
  <c r="F22" i="1" s="1"/>
  <c r="F23" i="1" s="1"/>
  <c r="F24" i="1" s="1"/>
  <c r="F25" i="1" s="1"/>
  <c r="L18" i="1"/>
  <c r="K18" i="1"/>
  <c r="K19" i="1" s="1"/>
  <c r="K20" i="1" s="1"/>
  <c r="K21" i="1" s="1"/>
  <c r="K22" i="1" s="1"/>
  <c r="K23" i="1" s="1"/>
  <c r="K24" i="1" s="1"/>
  <c r="K25" i="1" s="1"/>
  <c r="G18" i="1"/>
  <c r="F18" i="1"/>
  <c r="E18" i="1"/>
  <c r="E19" i="1" s="1"/>
  <c r="E20" i="1" s="1"/>
  <c r="E21" i="1" s="1"/>
  <c r="L17" i="1"/>
  <c r="K17" i="1"/>
  <c r="J17" i="1"/>
  <c r="J18" i="1" s="1"/>
  <c r="J19" i="1" s="1"/>
  <c r="J20" i="1" s="1"/>
  <c r="J21" i="1" s="1"/>
  <c r="J22" i="1" s="1"/>
  <c r="J23" i="1" s="1"/>
  <c r="J24" i="1" s="1"/>
  <c r="J25" i="1" s="1"/>
  <c r="G17" i="1"/>
  <c r="F17" i="1"/>
  <c r="E17" i="1"/>
  <c r="L16" i="1"/>
  <c r="K16" i="1"/>
  <c r="J16" i="1"/>
  <c r="I16" i="1"/>
  <c r="I17" i="1" s="1"/>
  <c r="I18" i="1" s="1"/>
  <c r="I19" i="1" s="1"/>
  <c r="I20" i="1" s="1"/>
  <c r="I21" i="1" s="1"/>
  <c r="I22" i="1" s="1"/>
  <c r="I23" i="1" s="1"/>
  <c r="I24" i="1" s="1"/>
  <c r="I25" i="1" s="1"/>
  <c r="G16" i="1"/>
  <c r="F16" i="1"/>
  <c r="E16" i="1"/>
  <c r="C16" i="1"/>
  <c r="C17" i="1" s="1"/>
  <c r="C18" i="1" s="1"/>
  <c r="C19" i="1" s="1"/>
  <c r="C20" i="1" s="1"/>
  <c r="C21" i="1" s="1"/>
  <c r="C22" i="1" s="1"/>
  <c r="C23" i="1" s="1"/>
  <c r="C24" i="1" s="1"/>
  <c r="C25" i="1" s="1"/>
  <c r="L15" i="1"/>
  <c r="K15" i="1"/>
  <c r="J15" i="1"/>
  <c r="I15" i="1"/>
  <c r="H15" i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G15" i="1"/>
  <c r="F15" i="1"/>
  <c r="E15" i="1"/>
  <c r="C15" i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G11" i="1"/>
  <c r="F11" i="1"/>
  <c r="I11" i="1" s="1"/>
  <c r="G10" i="1"/>
  <c r="F10" i="1"/>
  <c r="I10" i="1" s="1"/>
  <c r="G9" i="1"/>
  <c r="F9" i="1"/>
  <c r="I9" i="1" s="1"/>
  <c r="G8" i="1"/>
  <c r="F8" i="1"/>
  <c r="I8" i="1" s="1"/>
  <c r="G7" i="1"/>
  <c r="F7" i="1"/>
  <c r="I7" i="1" s="1"/>
  <c r="G6" i="1"/>
  <c r="F6" i="1"/>
  <c r="I6" i="1" s="1"/>
  <c r="G5" i="1"/>
  <c r="F5" i="1"/>
  <c r="I5" i="1" s="1"/>
  <c r="G4" i="1"/>
  <c r="F4" i="1"/>
  <c r="I4" i="1" s="1"/>
  <c r="G3" i="1"/>
  <c r="F3" i="1"/>
  <c r="I3" i="1" s="1"/>
  <c r="E22" i="1" l="1"/>
  <c r="E23" i="1" s="1"/>
  <c r="E24" i="1" s="1"/>
  <c r="E25" i="1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D25" i="1" s="1"/>
</calcChain>
</file>

<file path=xl/sharedStrings.xml><?xml version="1.0" encoding="utf-8"?>
<sst xmlns="http://schemas.openxmlformats.org/spreadsheetml/2006/main" count="19" uniqueCount="18">
  <si>
    <t xml:space="preserve">Исходные данные </t>
  </si>
  <si>
    <t>Эксперимент</t>
  </si>
  <si>
    <t>Температура</t>
  </si>
  <si>
    <t>Давление</t>
  </si>
  <si>
    <t>№</t>
  </si>
  <si>
    <t xml:space="preserve">Температура </t>
  </si>
  <si>
    <t>Yэкспер</t>
  </si>
  <si>
    <t>Yрасчет</t>
  </si>
  <si>
    <r>
      <t>Х</t>
    </r>
    <r>
      <rPr>
        <sz val="9"/>
        <color theme="1"/>
        <rFont val="Calibri"/>
        <family val="2"/>
        <charset val="204"/>
        <scheme val="minor"/>
      </rPr>
      <t>сред</t>
    </r>
  </si>
  <si>
    <t>Шаг</t>
  </si>
  <si>
    <t>Коэффициенты</t>
  </si>
  <si>
    <t>A0</t>
  </si>
  <si>
    <t>A1</t>
  </si>
  <si>
    <t>A2</t>
  </si>
  <si>
    <t>A11</t>
  </si>
  <si>
    <t>A12</t>
  </si>
  <si>
    <t>A22</t>
  </si>
  <si>
    <t>X/Y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</si>
</sst>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6" xfId="0" applyNumberFormat="1" applyBorder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[1]Лист1!$A$14:$L$14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1.2</c:v>
                </c:pt>
                <c:pt idx="3">
                  <c:v>1.4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9-483B-82E6-7DC41640E54E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[1]Лист1!$A$15:$L$15</c:f>
              <c:numCache>
                <c:formatCode>General</c:formatCode>
                <c:ptCount val="12"/>
                <c:pt idx="0">
                  <c:v>50</c:v>
                </c:pt>
                <c:pt idx="1">
                  <c:v>1.2</c:v>
                </c:pt>
                <c:pt idx="2">
                  <c:v>3.5999999999999996</c:v>
                </c:pt>
                <c:pt idx="3">
                  <c:v>2052.4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9-483B-82E6-7DC41640E54E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[1]Лист1!$A$16:$L$16</c:f>
              <c:numCache>
                <c:formatCode>General</c:formatCode>
                <c:ptCount val="12"/>
                <c:pt idx="0">
                  <c:v>60</c:v>
                </c:pt>
                <c:pt idx="1">
                  <c:v>1.4</c:v>
                </c:pt>
                <c:pt idx="2">
                  <c:v>5.8</c:v>
                </c:pt>
                <c:pt idx="3">
                  <c:v>4103.3999999999996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9-483B-82E6-7DC41640E54E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[1]Лист1!$A$17:$L$17</c:f>
              <c:numCache>
                <c:formatCode>General</c:formatCode>
                <c:ptCount val="12"/>
                <c:pt idx="0">
                  <c:v>70</c:v>
                </c:pt>
                <c:pt idx="1">
                  <c:v>1.5999999999999999</c:v>
                </c:pt>
                <c:pt idx="2">
                  <c:v>8</c:v>
                </c:pt>
                <c:pt idx="3">
                  <c:v>6154.4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99-483B-82E6-7DC41640E54E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[1]Лист1!$A$18:$L$18</c:f>
              <c:numCache>
                <c:formatCode>General</c:formatCode>
                <c:ptCount val="12"/>
                <c:pt idx="0">
                  <c:v>80</c:v>
                </c:pt>
                <c:pt idx="1">
                  <c:v>1.7999999999999998</c:v>
                </c:pt>
                <c:pt idx="2">
                  <c:v>10.280000000000001</c:v>
                </c:pt>
                <c:pt idx="3">
                  <c:v>8465.4599999999991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99-483B-82E6-7DC41640E54E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[1]Лист1!$A$19:$L$19</c:f>
              <c:numCache>
                <c:formatCode>General</c:formatCode>
                <c:ptCount val="12"/>
                <c:pt idx="0">
                  <c:v>90</c:v>
                </c:pt>
                <c:pt idx="1">
                  <c:v>1.9999999999999998</c:v>
                </c:pt>
                <c:pt idx="2">
                  <c:v>12.560000000000002</c:v>
                </c:pt>
                <c:pt idx="3">
                  <c:v>10776.519999999999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99-483B-82E6-7DC41640E54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[1]Лист1!$A$20:$L$20</c:f>
              <c:numCache>
                <c:formatCode>General</c:formatCode>
                <c:ptCount val="12"/>
                <c:pt idx="0">
                  <c:v>100</c:v>
                </c:pt>
                <c:pt idx="1">
                  <c:v>2.1999999999999997</c:v>
                </c:pt>
                <c:pt idx="2">
                  <c:v>13.840000000000002</c:v>
                </c:pt>
                <c:pt idx="3">
                  <c:v>13087.579999999998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99-483B-82E6-7DC41640E54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[1]Лист1!$A$21:$L$21</c:f>
              <c:numCache>
                <c:formatCode>General</c:formatCode>
                <c:ptCount val="12"/>
                <c:pt idx="0">
                  <c:v>110</c:v>
                </c:pt>
                <c:pt idx="1">
                  <c:v>2.4</c:v>
                </c:pt>
                <c:pt idx="2">
                  <c:v>14.620000000000001</c:v>
                </c:pt>
                <c:pt idx="3">
                  <c:v>15398.639999999998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99-483B-82E6-7DC41640E54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[1]Лист1!$A$22:$L$22</c:f>
              <c:numCache>
                <c:formatCode>General</c:formatCode>
                <c:ptCount val="12"/>
                <c:pt idx="0">
                  <c:v>120</c:v>
                </c:pt>
                <c:pt idx="1">
                  <c:v>2.5</c:v>
                </c:pt>
                <c:pt idx="2">
                  <c:v>15.4</c:v>
                </c:pt>
                <c:pt idx="3">
                  <c:v>17709.699999999997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99-483B-82E6-7DC41640E54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[1]Лист1!$A$23:$L$23</c:f>
              <c:numCache>
                <c:formatCode>General</c:formatCode>
                <c:ptCount val="12"/>
                <c:pt idx="0">
                  <c:v>130</c:v>
                </c:pt>
                <c:pt idx="1">
                  <c:v>2.6</c:v>
                </c:pt>
                <c:pt idx="2">
                  <c:v>15.58</c:v>
                </c:pt>
                <c:pt idx="3">
                  <c:v>20020.759999999998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99-483B-82E6-7DC41640E54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[1]Лист1!$A$24:$L$24</c:f>
              <c:numCache>
                <c:formatCode>General</c:formatCode>
                <c:ptCount val="12"/>
                <c:pt idx="0">
                  <c:v>140</c:v>
                </c:pt>
                <c:pt idx="1">
                  <c:v>2.6</c:v>
                </c:pt>
                <c:pt idx="2">
                  <c:v>15.58</c:v>
                </c:pt>
                <c:pt idx="3">
                  <c:v>20020.759999999998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99-483B-82E6-7DC41640E54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[1]Лист1!$A$25:$L$25</c:f>
              <c:numCache>
                <c:formatCode>General</c:formatCode>
                <c:ptCount val="12"/>
                <c:pt idx="0">
                  <c:v>150</c:v>
                </c:pt>
                <c:pt idx="1">
                  <c:v>2.6</c:v>
                </c:pt>
                <c:pt idx="2">
                  <c:v>15.58</c:v>
                </c:pt>
                <c:pt idx="3">
                  <c:v>20020.759999999998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99-483B-82E6-7DC41640E54E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535683648"/>
        <c:axId val="1535677824"/>
        <c:axId val="1086716176"/>
      </c:surface3DChart>
      <c:catAx>
        <c:axId val="15356836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5677824"/>
        <c:crosses val="autoZero"/>
        <c:auto val="1"/>
        <c:lblAlgn val="ctr"/>
        <c:lblOffset val="100"/>
        <c:noMultiLvlLbl val="0"/>
      </c:catAx>
      <c:valAx>
        <c:axId val="15356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5683648"/>
        <c:crosses val="autoZero"/>
        <c:crossBetween val="midCat"/>
      </c:valAx>
      <c:serAx>
        <c:axId val="1086716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567782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1</xdr:row>
      <xdr:rowOff>100012</xdr:rowOff>
    </xdr:from>
    <xdr:to>
      <xdr:col>20</xdr:col>
      <xdr:colOff>152400</xdr:colOff>
      <xdr:row>15</xdr:row>
      <xdr:rowOff>128587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15B4C76-7EEA-4C29-9470-DA479BCAD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56;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4">
          <cell r="A14" t="str">
            <v>X/Y</v>
          </cell>
          <cell r="B14">
            <v>1</v>
          </cell>
          <cell r="C14">
            <v>1.2</v>
          </cell>
          <cell r="D14">
            <v>1.4</v>
          </cell>
          <cell r="E14">
            <v>1.6</v>
          </cell>
          <cell r="F14">
            <v>1.8</v>
          </cell>
          <cell r="G14">
            <v>2</v>
          </cell>
          <cell r="H14">
            <v>2.2000000000000002</v>
          </cell>
          <cell r="I14">
            <v>2.4</v>
          </cell>
          <cell r="J14">
            <v>2.6</v>
          </cell>
          <cell r="K14">
            <v>2.8</v>
          </cell>
          <cell r="L14">
            <v>3</v>
          </cell>
        </row>
        <row r="15">
          <cell r="A15">
            <v>50</v>
          </cell>
          <cell r="B15">
            <v>1.2</v>
          </cell>
          <cell r="C15">
            <v>3.5999999999999996</v>
          </cell>
          <cell r="D15">
            <v>2052.4</v>
          </cell>
          <cell r="E15">
            <v>1.6</v>
          </cell>
          <cell r="F15">
            <v>1.8</v>
          </cell>
          <cell r="G15">
            <v>2</v>
          </cell>
          <cell r="H15">
            <v>2.2000000000000002</v>
          </cell>
          <cell r="I15">
            <v>2.4</v>
          </cell>
          <cell r="J15">
            <v>2.6</v>
          </cell>
          <cell r="K15">
            <v>2.8</v>
          </cell>
          <cell r="L15">
            <v>3</v>
          </cell>
        </row>
        <row r="16">
          <cell r="A16">
            <v>60</v>
          </cell>
          <cell r="B16">
            <v>1.4</v>
          </cell>
          <cell r="C16">
            <v>5.8</v>
          </cell>
          <cell r="D16">
            <v>4103.3999999999996</v>
          </cell>
          <cell r="E16">
            <v>1.6</v>
          </cell>
          <cell r="F16">
            <v>1.8</v>
          </cell>
          <cell r="G16">
            <v>2</v>
          </cell>
          <cell r="H16">
            <v>2.2000000000000002</v>
          </cell>
          <cell r="I16">
            <v>2.4</v>
          </cell>
          <cell r="J16">
            <v>2.6</v>
          </cell>
          <cell r="K16">
            <v>2.8</v>
          </cell>
          <cell r="L16">
            <v>3</v>
          </cell>
        </row>
        <row r="17">
          <cell r="A17">
            <v>70</v>
          </cell>
          <cell r="B17">
            <v>1.5999999999999999</v>
          </cell>
          <cell r="C17">
            <v>8</v>
          </cell>
          <cell r="D17">
            <v>6154.4</v>
          </cell>
          <cell r="E17">
            <v>1.6</v>
          </cell>
          <cell r="F17">
            <v>1.8</v>
          </cell>
          <cell r="G17">
            <v>2</v>
          </cell>
          <cell r="H17">
            <v>2.2000000000000002</v>
          </cell>
          <cell r="I17">
            <v>2.4</v>
          </cell>
          <cell r="J17">
            <v>2.6</v>
          </cell>
          <cell r="K17">
            <v>2.8</v>
          </cell>
          <cell r="L17">
            <v>3</v>
          </cell>
        </row>
        <row r="18">
          <cell r="A18">
            <v>80</v>
          </cell>
          <cell r="B18">
            <v>1.7999999999999998</v>
          </cell>
          <cell r="C18">
            <v>10.280000000000001</v>
          </cell>
          <cell r="D18">
            <v>8465.4599999999991</v>
          </cell>
          <cell r="E18">
            <v>1.6</v>
          </cell>
          <cell r="F18">
            <v>1.8</v>
          </cell>
          <cell r="G18">
            <v>2</v>
          </cell>
          <cell r="H18">
            <v>2.2000000000000002</v>
          </cell>
          <cell r="I18">
            <v>2.4</v>
          </cell>
          <cell r="J18">
            <v>2.6</v>
          </cell>
          <cell r="K18">
            <v>2.8</v>
          </cell>
          <cell r="L18">
            <v>3</v>
          </cell>
        </row>
        <row r="19">
          <cell r="A19">
            <v>90</v>
          </cell>
          <cell r="B19">
            <v>1.9999999999999998</v>
          </cell>
          <cell r="C19">
            <v>12.560000000000002</v>
          </cell>
          <cell r="D19">
            <v>10776.519999999999</v>
          </cell>
          <cell r="E19">
            <v>1.6</v>
          </cell>
          <cell r="F19">
            <v>1.8</v>
          </cell>
          <cell r="G19">
            <v>2</v>
          </cell>
          <cell r="H19">
            <v>2.2000000000000002</v>
          </cell>
          <cell r="I19">
            <v>2.4</v>
          </cell>
          <cell r="J19">
            <v>2.6</v>
          </cell>
          <cell r="K19">
            <v>2.8</v>
          </cell>
          <cell r="L19">
            <v>3</v>
          </cell>
        </row>
        <row r="20">
          <cell r="A20">
            <v>100</v>
          </cell>
          <cell r="B20">
            <v>2.1999999999999997</v>
          </cell>
          <cell r="C20">
            <v>13.840000000000002</v>
          </cell>
          <cell r="D20">
            <v>13087.579999999998</v>
          </cell>
          <cell r="E20">
            <v>1.6</v>
          </cell>
          <cell r="F20">
            <v>1.8</v>
          </cell>
          <cell r="G20">
            <v>2</v>
          </cell>
          <cell r="H20">
            <v>2.2000000000000002</v>
          </cell>
          <cell r="I20">
            <v>2.4</v>
          </cell>
          <cell r="J20">
            <v>2.6</v>
          </cell>
          <cell r="K20">
            <v>2.8</v>
          </cell>
          <cell r="L20">
            <v>3</v>
          </cell>
        </row>
        <row r="21">
          <cell r="A21">
            <v>110</v>
          </cell>
          <cell r="B21">
            <v>2.4</v>
          </cell>
          <cell r="C21">
            <v>14.620000000000001</v>
          </cell>
          <cell r="D21">
            <v>15398.639999999998</v>
          </cell>
          <cell r="E21">
            <v>1.6</v>
          </cell>
          <cell r="F21">
            <v>1.8</v>
          </cell>
          <cell r="G21">
            <v>2</v>
          </cell>
          <cell r="H21">
            <v>2.2000000000000002</v>
          </cell>
          <cell r="I21">
            <v>2.4</v>
          </cell>
          <cell r="J21">
            <v>2.6</v>
          </cell>
          <cell r="K21">
            <v>2.8</v>
          </cell>
          <cell r="L21">
            <v>3</v>
          </cell>
        </row>
        <row r="22">
          <cell r="A22">
            <v>120</v>
          </cell>
          <cell r="B22">
            <v>2.5</v>
          </cell>
          <cell r="C22">
            <v>15.4</v>
          </cell>
          <cell r="D22">
            <v>17709.699999999997</v>
          </cell>
          <cell r="E22">
            <v>1.6</v>
          </cell>
          <cell r="F22">
            <v>1.8</v>
          </cell>
          <cell r="G22">
            <v>2</v>
          </cell>
          <cell r="H22">
            <v>2.2000000000000002</v>
          </cell>
          <cell r="I22">
            <v>2.4</v>
          </cell>
          <cell r="J22">
            <v>2.6</v>
          </cell>
          <cell r="K22">
            <v>2.8</v>
          </cell>
          <cell r="L22">
            <v>3</v>
          </cell>
        </row>
        <row r="23">
          <cell r="A23">
            <v>130</v>
          </cell>
          <cell r="B23">
            <v>2.6</v>
          </cell>
          <cell r="C23">
            <v>15.58</v>
          </cell>
          <cell r="D23">
            <v>20020.759999999998</v>
          </cell>
          <cell r="E23">
            <v>1.6</v>
          </cell>
          <cell r="F23">
            <v>1.8</v>
          </cell>
          <cell r="G23">
            <v>2</v>
          </cell>
          <cell r="H23">
            <v>2.2000000000000002</v>
          </cell>
          <cell r="I23">
            <v>2.4</v>
          </cell>
          <cell r="J23">
            <v>2.6</v>
          </cell>
          <cell r="K23">
            <v>2.8</v>
          </cell>
          <cell r="L23">
            <v>3</v>
          </cell>
        </row>
        <row r="24">
          <cell r="A24">
            <v>140</v>
          </cell>
          <cell r="B24">
            <v>2.6</v>
          </cell>
          <cell r="C24">
            <v>15.58</v>
          </cell>
          <cell r="D24">
            <v>20020.759999999998</v>
          </cell>
          <cell r="E24">
            <v>1.6</v>
          </cell>
          <cell r="F24">
            <v>1.8</v>
          </cell>
          <cell r="G24">
            <v>2</v>
          </cell>
          <cell r="H24">
            <v>2.2000000000000002</v>
          </cell>
          <cell r="I24">
            <v>2.4</v>
          </cell>
          <cell r="J24">
            <v>2.6</v>
          </cell>
          <cell r="K24">
            <v>2.8</v>
          </cell>
          <cell r="L24">
            <v>3</v>
          </cell>
        </row>
        <row r="25">
          <cell r="A25">
            <v>150</v>
          </cell>
          <cell r="B25">
            <v>2.6</v>
          </cell>
          <cell r="C25">
            <v>15.58</v>
          </cell>
          <cell r="D25">
            <v>20020.759999999998</v>
          </cell>
          <cell r="E25">
            <v>1.6</v>
          </cell>
          <cell r="F25">
            <v>1.8</v>
          </cell>
          <cell r="G25">
            <v>2</v>
          </cell>
          <cell r="H25">
            <v>2.2000000000000002</v>
          </cell>
          <cell r="I25">
            <v>2.4</v>
          </cell>
          <cell r="J25">
            <v>2.6</v>
          </cell>
          <cell r="K25">
            <v>2.8</v>
          </cell>
          <cell r="L25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19" workbookViewId="0">
      <selection activeCell="K11" sqref="K11"/>
    </sheetView>
  </sheetViews>
  <sheetFormatPr defaultRowHeight="15" x14ac:dyDescent="0.25"/>
  <cols>
    <col min="1" max="1" width="8.140625" customWidth="1"/>
    <col min="2" max="2" width="17.28515625" customWidth="1"/>
    <col min="3" max="3" width="11.28515625" customWidth="1"/>
    <col min="4" max="4" width="18.7109375" customWidth="1"/>
    <col min="5" max="5" width="11.85546875" customWidth="1"/>
  </cols>
  <sheetData>
    <row r="1" spans="1:12" ht="15.75" thickBot="1" x14ac:dyDescent="0.3">
      <c r="A1" s="1" t="s">
        <v>0</v>
      </c>
      <c r="B1" s="1"/>
      <c r="C1" s="1"/>
      <c r="E1" s="2" t="s">
        <v>1</v>
      </c>
      <c r="F1" s="3"/>
      <c r="G1" s="3"/>
      <c r="H1" s="3"/>
      <c r="I1" s="4"/>
    </row>
    <row r="2" spans="1:12" ht="15.75" thickBot="1" x14ac:dyDescent="0.3">
      <c r="A2" s="5"/>
      <c r="B2" s="6" t="s">
        <v>2</v>
      </c>
      <c r="C2" s="7" t="s">
        <v>3</v>
      </c>
      <c r="E2" s="5" t="s">
        <v>4</v>
      </c>
      <c r="F2" s="6" t="s">
        <v>5</v>
      </c>
      <c r="G2" s="8" t="s">
        <v>3</v>
      </c>
      <c r="H2" s="8" t="s">
        <v>6</v>
      </c>
      <c r="I2" s="7" t="s">
        <v>7</v>
      </c>
    </row>
    <row r="3" spans="1:12" x14ac:dyDescent="0.25">
      <c r="A3" s="9" t="s">
        <v>8</v>
      </c>
      <c r="B3" s="10">
        <v>100</v>
      </c>
      <c r="C3" s="11">
        <v>2</v>
      </c>
      <c r="E3" s="9">
        <v>1</v>
      </c>
      <c r="F3" s="10">
        <f>$B$3-$B$4</f>
        <v>50</v>
      </c>
      <c r="G3" s="10">
        <f>$C$3-$C$4</f>
        <v>1</v>
      </c>
      <c r="H3" s="12">
        <v>1</v>
      </c>
      <c r="I3" s="11">
        <f>$B$7+$B$8*F3+$B$9*G3+$B$10*F3^2+$B$11*F3*G3+$B$12*G3^2</f>
        <v>2603</v>
      </c>
    </row>
    <row r="4" spans="1:12" ht="15.75" thickBot="1" x14ac:dyDescent="0.3">
      <c r="A4" s="13" t="s">
        <v>9</v>
      </c>
      <c r="B4" s="14">
        <v>50</v>
      </c>
      <c r="C4" s="15">
        <v>1</v>
      </c>
      <c r="E4" s="16">
        <v>2</v>
      </c>
      <c r="F4" s="10">
        <f>$B$3</f>
        <v>100</v>
      </c>
      <c r="G4" s="10">
        <f>$C$3</f>
        <v>2</v>
      </c>
      <c r="H4" s="17">
        <v>7</v>
      </c>
      <c r="I4" s="11">
        <f t="shared" ref="I4:I11" si="0">$B$7+$B$8*F4+$B$9*G4+$B$10*F4^2+$B$11*F4*G4+$B$12*G4^2</f>
        <v>10307</v>
      </c>
    </row>
    <row r="5" spans="1:12" x14ac:dyDescent="0.25">
      <c r="E5" s="16">
        <v>3</v>
      </c>
      <c r="F5" s="10">
        <f>$B$3+$B$4</f>
        <v>150</v>
      </c>
      <c r="G5" s="10">
        <f>$C$3+$C$4</f>
        <v>3</v>
      </c>
      <c r="H5" s="17">
        <v>5</v>
      </c>
      <c r="I5" s="11">
        <f t="shared" si="0"/>
        <v>23113</v>
      </c>
    </row>
    <row r="6" spans="1:12" x14ac:dyDescent="0.25">
      <c r="A6" s="18" t="s">
        <v>10</v>
      </c>
      <c r="B6" s="18"/>
      <c r="E6" s="16">
        <v>4</v>
      </c>
      <c r="F6" s="10">
        <f>$B$3-$B$4</f>
        <v>50</v>
      </c>
      <c r="G6" s="10">
        <f>$C$3-$C$4</f>
        <v>1</v>
      </c>
      <c r="H6" s="17">
        <v>17</v>
      </c>
      <c r="I6" s="11">
        <f t="shared" si="0"/>
        <v>2603</v>
      </c>
    </row>
    <row r="7" spans="1:12" x14ac:dyDescent="0.25">
      <c r="A7" s="17" t="s">
        <v>11</v>
      </c>
      <c r="B7" s="17">
        <v>1</v>
      </c>
      <c r="E7" s="16">
        <v>5</v>
      </c>
      <c r="F7" s="10">
        <f>$B$3</f>
        <v>100</v>
      </c>
      <c r="G7" s="10">
        <f>$C$3</f>
        <v>2</v>
      </c>
      <c r="H7" s="17">
        <v>25</v>
      </c>
      <c r="I7" s="11">
        <f t="shared" si="0"/>
        <v>10307</v>
      </c>
    </row>
    <row r="8" spans="1:12" x14ac:dyDescent="0.25">
      <c r="A8" s="17" t="s">
        <v>12</v>
      </c>
      <c r="B8" s="17">
        <v>1</v>
      </c>
      <c r="E8" s="16">
        <v>6</v>
      </c>
      <c r="F8" s="10">
        <f>$B$3+$B$4</f>
        <v>150</v>
      </c>
      <c r="G8" s="10">
        <f>$C$3+$C$4</f>
        <v>3</v>
      </c>
      <c r="H8" s="17">
        <v>15</v>
      </c>
      <c r="I8" s="11">
        <f t="shared" si="0"/>
        <v>23113</v>
      </c>
    </row>
    <row r="9" spans="1:12" x14ac:dyDescent="0.25">
      <c r="A9" s="17" t="s">
        <v>13</v>
      </c>
      <c r="B9" s="17">
        <v>1</v>
      </c>
      <c r="E9" s="16">
        <v>7</v>
      </c>
      <c r="F9" s="10">
        <f>$B$3-$B$4</f>
        <v>50</v>
      </c>
      <c r="G9" s="10">
        <f>$C$3-$C$4</f>
        <v>1</v>
      </c>
      <c r="H9" s="17">
        <v>3</v>
      </c>
      <c r="I9" s="11">
        <f t="shared" si="0"/>
        <v>2603</v>
      </c>
    </row>
    <row r="10" spans="1:12" x14ac:dyDescent="0.25">
      <c r="A10" s="17" t="s">
        <v>14</v>
      </c>
      <c r="B10" s="17">
        <v>1</v>
      </c>
      <c r="E10" s="16">
        <v>8</v>
      </c>
      <c r="F10" s="10">
        <f>$B$3</f>
        <v>100</v>
      </c>
      <c r="G10" s="10">
        <f>$C$3</f>
        <v>2</v>
      </c>
      <c r="H10" s="17">
        <v>10</v>
      </c>
      <c r="I10" s="11">
        <f t="shared" si="0"/>
        <v>10307</v>
      </c>
    </row>
    <row r="11" spans="1:12" ht="15.75" thickBot="1" x14ac:dyDescent="0.3">
      <c r="A11" s="17" t="s">
        <v>15</v>
      </c>
      <c r="B11" s="17">
        <v>1</v>
      </c>
      <c r="E11" s="13">
        <v>9</v>
      </c>
      <c r="F11" s="19">
        <f>$B$3+$B$4</f>
        <v>150</v>
      </c>
      <c r="G11" s="19">
        <f>$C$3+$C$4</f>
        <v>3</v>
      </c>
      <c r="H11" s="20">
        <v>4</v>
      </c>
      <c r="I11" s="11">
        <f t="shared" si="0"/>
        <v>23113</v>
      </c>
    </row>
    <row r="12" spans="1:12" x14ac:dyDescent="0.25">
      <c r="A12" s="17" t="s">
        <v>16</v>
      </c>
      <c r="B12" s="17">
        <v>1</v>
      </c>
    </row>
    <row r="13" spans="1:12" ht="15.75" thickBot="1" x14ac:dyDescent="0.3"/>
    <row r="14" spans="1:12" ht="15.75" thickBot="1" x14ac:dyDescent="0.3">
      <c r="A14" s="5" t="s">
        <v>17</v>
      </c>
      <c r="B14" s="21">
        <v>1</v>
      </c>
      <c r="C14" s="22">
        <v>1.2</v>
      </c>
      <c r="D14" s="22">
        <v>1.4</v>
      </c>
      <c r="E14" s="22">
        <v>1.6</v>
      </c>
      <c r="F14" s="22">
        <v>1.8</v>
      </c>
      <c r="G14" s="22">
        <v>2</v>
      </c>
      <c r="H14" s="22">
        <v>2.2000000000000002</v>
      </c>
      <c r="I14" s="22">
        <v>2.4</v>
      </c>
      <c r="J14" s="22">
        <v>2.6</v>
      </c>
      <c r="K14" s="22">
        <v>2.8</v>
      </c>
      <c r="L14" s="23">
        <v>3</v>
      </c>
    </row>
    <row r="15" spans="1:12" x14ac:dyDescent="0.25">
      <c r="A15" s="9">
        <v>50</v>
      </c>
      <c r="B15" s="10">
        <f>B14+(MAX(G3:G11) - MIN(G3:G11))/10</f>
        <v>1.2</v>
      </c>
      <c r="C15" s="10">
        <f>C14+(MAX(H3:H11) - MIN(H3:H11))/10</f>
        <v>3.5999999999999996</v>
      </c>
      <c r="D15" s="10">
        <f t="shared" ref="D15:L25" si="1">D14+(MAX(I3:I11) - MIN(I3:I11))/10</f>
        <v>2052.4</v>
      </c>
      <c r="E15" s="10">
        <f t="shared" si="1"/>
        <v>1.6</v>
      </c>
      <c r="F15" s="10">
        <f t="shared" si="1"/>
        <v>1.8</v>
      </c>
      <c r="G15" s="10">
        <f t="shared" si="1"/>
        <v>2</v>
      </c>
      <c r="H15" s="10">
        <f t="shared" si="1"/>
        <v>2.2000000000000002</v>
      </c>
      <c r="I15" s="10">
        <f t="shared" si="1"/>
        <v>2.4</v>
      </c>
      <c r="J15" s="10">
        <f t="shared" si="1"/>
        <v>2.6</v>
      </c>
      <c r="K15" s="10">
        <f t="shared" si="1"/>
        <v>2.8</v>
      </c>
      <c r="L15" s="10">
        <f t="shared" si="1"/>
        <v>3</v>
      </c>
    </row>
    <row r="16" spans="1:12" x14ac:dyDescent="0.25">
      <c r="A16" s="16">
        <v>60</v>
      </c>
      <c r="B16" s="10">
        <f t="shared" ref="B16:C25" si="2">B15+(MAX(G4:G12) - MIN(G4:G12))/10</f>
        <v>1.4</v>
      </c>
      <c r="C16" s="10">
        <f t="shared" si="2"/>
        <v>5.8</v>
      </c>
      <c r="D16" s="10">
        <f t="shared" si="1"/>
        <v>4103.3999999999996</v>
      </c>
      <c r="E16" s="10">
        <f t="shared" si="1"/>
        <v>1.6</v>
      </c>
      <c r="F16" s="10">
        <f t="shared" si="1"/>
        <v>1.8</v>
      </c>
      <c r="G16" s="10">
        <f t="shared" si="1"/>
        <v>2</v>
      </c>
      <c r="H16" s="10">
        <f t="shared" si="1"/>
        <v>2.2000000000000002</v>
      </c>
      <c r="I16" s="10">
        <f t="shared" si="1"/>
        <v>2.4</v>
      </c>
      <c r="J16" s="10">
        <f t="shared" si="1"/>
        <v>2.6</v>
      </c>
      <c r="K16" s="10">
        <f t="shared" si="1"/>
        <v>2.8</v>
      </c>
      <c r="L16" s="10">
        <f t="shared" si="1"/>
        <v>3</v>
      </c>
    </row>
    <row r="17" spans="1:12" x14ac:dyDescent="0.25">
      <c r="A17" s="16">
        <v>70</v>
      </c>
      <c r="B17" s="10">
        <f t="shared" si="2"/>
        <v>1.5999999999999999</v>
      </c>
      <c r="C17" s="10">
        <f t="shared" si="2"/>
        <v>8</v>
      </c>
      <c r="D17" s="10">
        <f t="shared" si="1"/>
        <v>6154.4</v>
      </c>
      <c r="E17" s="10">
        <f t="shared" si="1"/>
        <v>1.6</v>
      </c>
      <c r="F17" s="10">
        <f t="shared" si="1"/>
        <v>1.8</v>
      </c>
      <c r="G17" s="10">
        <f t="shared" si="1"/>
        <v>2</v>
      </c>
      <c r="H17" s="10">
        <f t="shared" si="1"/>
        <v>2.2000000000000002</v>
      </c>
      <c r="I17" s="10">
        <f t="shared" si="1"/>
        <v>2.4</v>
      </c>
      <c r="J17" s="10">
        <f t="shared" si="1"/>
        <v>2.6</v>
      </c>
      <c r="K17" s="10">
        <f t="shared" si="1"/>
        <v>2.8</v>
      </c>
      <c r="L17" s="10">
        <f t="shared" si="1"/>
        <v>3</v>
      </c>
    </row>
    <row r="18" spans="1:12" x14ac:dyDescent="0.25">
      <c r="A18" s="16">
        <v>80</v>
      </c>
      <c r="B18" s="10">
        <f t="shared" si="2"/>
        <v>1.7999999999999998</v>
      </c>
      <c r="C18" s="10">
        <f t="shared" si="2"/>
        <v>10.280000000000001</v>
      </c>
      <c r="D18" s="10">
        <f t="shared" si="1"/>
        <v>8465.4599999999991</v>
      </c>
      <c r="E18" s="10">
        <f t="shared" si="1"/>
        <v>1.6</v>
      </c>
      <c r="F18" s="10">
        <f t="shared" si="1"/>
        <v>1.8</v>
      </c>
      <c r="G18" s="10">
        <f t="shared" si="1"/>
        <v>2</v>
      </c>
      <c r="H18" s="10">
        <f t="shared" si="1"/>
        <v>2.2000000000000002</v>
      </c>
      <c r="I18" s="10">
        <f t="shared" si="1"/>
        <v>2.4</v>
      </c>
      <c r="J18" s="10">
        <f t="shared" si="1"/>
        <v>2.6</v>
      </c>
      <c r="K18" s="10">
        <f t="shared" si="1"/>
        <v>2.8</v>
      </c>
      <c r="L18" s="10">
        <f t="shared" si="1"/>
        <v>3</v>
      </c>
    </row>
    <row r="19" spans="1:12" x14ac:dyDescent="0.25">
      <c r="A19" s="16">
        <v>90</v>
      </c>
      <c r="B19" s="10">
        <f t="shared" si="2"/>
        <v>1.9999999999999998</v>
      </c>
      <c r="C19" s="10">
        <f t="shared" si="2"/>
        <v>12.560000000000002</v>
      </c>
      <c r="D19" s="10">
        <f t="shared" si="1"/>
        <v>10776.519999999999</v>
      </c>
      <c r="E19" s="10">
        <f t="shared" si="1"/>
        <v>1.6</v>
      </c>
      <c r="F19" s="10">
        <f t="shared" si="1"/>
        <v>1.8</v>
      </c>
      <c r="G19" s="10">
        <f t="shared" si="1"/>
        <v>2</v>
      </c>
      <c r="H19" s="10">
        <f t="shared" si="1"/>
        <v>2.2000000000000002</v>
      </c>
      <c r="I19" s="10">
        <f t="shared" si="1"/>
        <v>2.4</v>
      </c>
      <c r="J19" s="10">
        <f t="shared" si="1"/>
        <v>2.6</v>
      </c>
      <c r="K19" s="10">
        <f t="shared" si="1"/>
        <v>2.8</v>
      </c>
      <c r="L19" s="10">
        <f t="shared" si="1"/>
        <v>3</v>
      </c>
    </row>
    <row r="20" spans="1:12" x14ac:dyDescent="0.25">
      <c r="A20" s="16">
        <v>100</v>
      </c>
      <c r="B20" s="10">
        <f t="shared" si="2"/>
        <v>2.1999999999999997</v>
      </c>
      <c r="C20" s="10">
        <f t="shared" si="2"/>
        <v>13.840000000000002</v>
      </c>
      <c r="D20" s="10">
        <f t="shared" si="1"/>
        <v>13087.579999999998</v>
      </c>
      <c r="E20" s="10">
        <f t="shared" si="1"/>
        <v>1.6</v>
      </c>
      <c r="F20" s="10">
        <f t="shared" si="1"/>
        <v>1.8</v>
      </c>
      <c r="G20" s="10">
        <f t="shared" si="1"/>
        <v>2</v>
      </c>
      <c r="H20" s="10">
        <f t="shared" si="1"/>
        <v>2.2000000000000002</v>
      </c>
      <c r="I20" s="10">
        <f t="shared" si="1"/>
        <v>2.4</v>
      </c>
      <c r="J20" s="10">
        <f t="shared" si="1"/>
        <v>2.6</v>
      </c>
      <c r="K20" s="10">
        <f t="shared" si="1"/>
        <v>2.8</v>
      </c>
      <c r="L20" s="10">
        <f t="shared" si="1"/>
        <v>3</v>
      </c>
    </row>
    <row r="21" spans="1:12" x14ac:dyDescent="0.25">
      <c r="A21" s="16">
        <v>110</v>
      </c>
      <c r="B21" s="10">
        <f t="shared" si="2"/>
        <v>2.4</v>
      </c>
      <c r="C21" s="10">
        <f t="shared" si="2"/>
        <v>14.620000000000001</v>
      </c>
      <c r="D21" s="10">
        <f t="shared" si="1"/>
        <v>15398.639999999998</v>
      </c>
      <c r="E21" s="10">
        <f t="shared" si="1"/>
        <v>1.6</v>
      </c>
      <c r="F21" s="10">
        <f t="shared" si="1"/>
        <v>1.8</v>
      </c>
      <c r="G21" s="10">
        <f t="shared" si="1"/>
        <v>2</v>
      </c>
      <c r="H21" s="10">
        <f t="shared" si="1"/>
        <v>2.2000000000000002</v>
      </c>
      <c r="I21" s="10">
        <f t="shared" si="1"/>
        <v>2.4</v>
      </c>
      <c r="J21" s="10">
        <f t="shared" si="1"/>
        <v>2.6</v>
      </c>
      <c r="K21" s="10">
        <f t="shared" si="1"/>
        <v>2.8</v>
      </c>
      <c r="L21" s="10">
        <f t="shared" si="1"/>
        <v>3</v>
      </c>
    </row>
    <row r="22" spans="1:12" x14ac:dyDescent="0.25">
      <c r="A22" s="16">
        <v>120</v>
      </c>
      <c r="B22" s="10">
        <f t="shared" si="2"/>
        <v>2.5</v>
      </c>
      <c r="C22" s="10">
        <f t="shared" si="2"/>
        <v>15.4</v>
      </c>
      <c r="D22" s="10">
        <f t="shared" si="1"/>
        <v>17709.699999999997</v>
      </c>
      <c r="E22" s="10">
        <f t="shared" si="1"/>
        <v>1.6</v>
      </c>
      <c r="F22" s="10">
        <f t="shared" si="1"/>
        <v>1.8</v>
      </c>
      <c r="G22" s="10">
        <f t="shared" si="1"/>
        <v>2</v>
      </c>
      <c r="H22" s="10">
        <f t="shared" si="1"/>
        <v>2.2000000000000002</v>
      </c>
      <c r="I22" s="10">
        <f t="shared" si="1"/>
        <v>2.4</v>
      </c>
      <c r="J22" s="10">
        <f t="shared" si="1"/>
        <v>2.6</v>
      </c>
      <c r="K22" s="10">
        <f t="shared" si="1"/>
        <v>2.8</v>
      </c>
      <c r="L22" s="10">
        <f t="shared" si="1"/>
        <v>3</v>
      </c>
    </row>
    <row r="23" spans="1:12" x14ac:dyDescent="0.25">
      <c r="A23" s="16">
        <v>130</v>
      </c>
      <c r="B23" s="10">
        <f t="shared" si="2"/>
        <v>2.6</v>
      </c>
      <c r="C23" s="10">
        <f t="shared" si="2"/>
        <v>15.58</v>
      </c>
      <c r="D23" s="10">
        <f t="shared" si="1"/>
        <v>20020.759999999998</v>
      </c>
      <c r="E23" s="10">
        <f t="shared" si="1"/>
        <v>1.6</v>
      </c>
      <c r="F23" s="10">
        <f t="shared" si="1"/>
        <v>1.8</v>
      </c>
      <c r="G23" s="10">
        <f t="shared" si="1"/>
        <v>2</v>
      </c>
      <c r="H23" s="10">
        <f t="shared" si="1"/>
        <v>2.2000000000000002</v>
      </c>
      <c r="I23" s="10">
        <f t="shared" si="1"/>
        <v>2.4</v>
      </c>
      <c r="J23" s="10">
        <f t="shared" si="1"/>
        <v>2.6</v>
      </c>
      <c r="K23" s="10">
        <f t="shared" si="1"/>
        <v>2.8</v>
      </c>
      <c r="L23" s="10">
        <f t="shared" si="1"/>
        <v>3</v>
      </c>
    </row>
    <row r="24" spans="1:12" x14ac:dyDescent="0.25">
      <c r="A24" s="16">
        <v>140</v>
      </c>
      <c r="B24" s="10">
        <f t="shared" si="2"/>
        <v>2.6</v>
      </c>
      <c r="C24" s="10">
        <f t="shared" si="2"/>
        <v>15.58</v>
      </c>
      <c r="D24" s="10">
        <f t="shared" si="1"/>
        <v>20020.759999999998</v>
      </c>
      <c r="E24" s="10">
        <f t="shared" si="1"/>
        <v>1.6</v>
      </c>
      <c r="F24" s="10">
        <f t="shared" si="1"/>
        <v>1.8</v>
      </c>
      <c r="G24" s="10">
        <f t="shared" si="1"/>
        <v>2</v>
      </c>
      <c r="H24" s="10">
        <f t="shared" si="1"/>
        <v>2.2000000000000002</v>
      </c>
      <c r="I24" s="10">
        <f t="shared" si="1"/>
        <v>2.4</v>
      </c>
      <c r="J24" s="10">
        <f t="shared" si="1"/>
        <v>2.6</v>
      </c>
      <c r="K24" s="10">
        <f t="shared" si="1"/>
        <v>2.8</v>
      </c>
      <c r="L24" s="10">
        <f t="shared" si="1"/>
        <v>3</v>
      </c>
    </row>
    <row r="25" spans="1:12" ht="15.75" thickBot="1" x14ac:dyDescent="0.3">
      <c r="A25" s="13">
        <v>150</v>
      </c>
      <c r="B25" s="10">
        <f t="shared" si="2"/>
        <v>2.6</v>
      </c>
      <c r="C25" s="10">
        <f t="shared" si="2"/>
        <v>15.58</v>
      </c>
      <c r="D25" s="10">
        <f t="shared" si="1"/>
        <v>20020.759999999998</v>
      </c>
      <c r="E25" s="10">
        <f t="shared" si="1"/>
        <v>1.6</v>
      </c>
      <c r="F25" s="10">
        <f t="shared" si="1"/>
        <v>1.8</v>
      </c>
      <c r="G25" s="10">
        <f t="shared" si="1"/>
        <v>2</v>
      </c>
      <c r="H25" s="10">
        <f t="shared" si="1"/>
        <v>2.2000000000000002</v>
      </c>
      <c r="I25" s="10">
        <f t="shared" si="1"/>
        <v>2.4</v>
      </c>
      <c r="J25" s="10">
        <f t="shared" si="1"/>
        <v>2.6</v>
      </c>
      <c r="K25" s="10">
        <f t="shared" si="1"/>
        <v>2.8</v>
      </c>
      <c r="L25" s="10">
        <f t="shared" si="1"/>
        <v>3</v>
      </c>
    </row>
    <row r="26" spans="1:12" x14ac:dyDescent="0.25">
      <c r="B26" s="24"/>
      <c r="C26" s="24"/>
      <c r="D26" s="24"/>
    </row>
    <row r="27" spans="1:12" x14ac:dyDescent="0.25">
      <c r="B27" s="24"/>
      <c r="C27" s="24"/>
      <c r="D27" s="24"/>
    </row>
    <row r="28" spans="1:12" x14ac:dyDescent="0.25">
      <c r="B28" s="24"/>
      <c r="C28" s="24"/>
      <c r="D28" s="24"/>
    </row>
    <row r="29" spans="1:12" x14ac:dyDescent="0.25">
      <c r="B29" s="24"/>
      <c r="C29" s="24"/>
      <c r="D29" s="24"/>
    </row>
    <row r="30" spans="1:12" x14ac:dyDescent="0.25">
      <c r="B30" s="24"/>
      <c r="C30" s="24"/>
      <c r="D30" s="24"/>
    </row>
    <row r="33" spans="1:5" x14ac:dyDescent="0.25">
      <c r="B33" s="25"/>
      <c r="C33" s="25"/>
      <c r="D33" s="25"/>
      <c r="E33" s="25"/>
    </row>
    <row r="34" spans="1:5" x14ac:dyDescent="0.25">
      <c r="B34" s="25"/>
      <c r="C34" s="25"/>
      <c r="D34" s="25"/>
      <c r="E34" s="25"/>
    </row>
    <row r="35" spans="1:5" x14ac:dyDescent="0.25">
      <c r="B35" s="25"/>
      <c r="C35" s="25"/>
      <c r="D35" s="25"/>
      <c r="E35" s="25"/>
    </row>
    <row r="36" spans="1:5" x14ac:dyDescent="0.25">
      <c r="B36" s="25"/>
      <c r="C36" s="25"/>
      <c r="D36" s="25"/>
      <c r="E36" s="25"/>
    </row>
    <row r="38" spans="1:5" ht="30" customHeight="1" x14ac:dyDescent="0.25">
      <c r="A38" s="26"/>
    </row>
    <row r="39" spans="1:5" ht="28.5" customHeight="1" x14ac:dyDescent="0.25">
      <c r="A39" s="26"/>
    </row>
  </sheetData>
  <mergeCells count="3">
    <mergeCell ref="A1:C1"/>
    <mergeCell ref="E1:I1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2026-04-11T08:14:43Z</dcterms:modified>
</cp:coreProperties>
</file>