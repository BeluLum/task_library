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4\"/>
    </mc:Choice>
  </mc:AlternateContent>
  <xr:revisionPtr revIDLastSave="0" documentId="13_ncr:1_{F8FBF328-F156-40DA-934D-09E3C0DC3CA5}" xr6:coauthVersionLast="47" xr6:coauthVersionMax="47" xr10:uidLastSave="{00000000-0000-0000-0000-000000000000}"/>
  <bookViews>
    <workbookView xWindow="1170" yWindow="1170" windowWidth="21600" windowHeight="1110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l="1"/>
  <c r="G4" i="1"/>
  <c r="G3" i="1"/>
  <c r="E6" i="1" l="1"/>
  <c r="G5" i="1"/>
  <c r="G6" i="1" l="1"/>
  <c r="E7" i="1"/>
  <c r="G7" i="1" l="1"/>
  <c r="E8" i="1"/>
  <c r="E9" i="1" l="1"/>
  <c r="G8" i="1"/>
  <c r="E10" i="1" l="1"/>
  <c r="G9" i="1"/>
  <c r="G10" i="1" l="1"/>
  <c r="E11" i="1"/>
  <c r="E12" i="1" l="1"/>
  <c r="G12" i="1" s="1"/>
  <c r="G11" i="1"/>
  <c r="J2" i="1" l="1"/>
  <c r="J3" i="1"/>
</calcChain>
</file>

<file path=xl/sharedStrings.xml><?xml version="1.0" encoding="utf-8"?>
<sst xmlns="http://schemas.openxmlformats.org/spreadsheetml/2006/main" count="15" uniqueCount="15">
  <si>
    <t>Исходные данные</t>
  </si>
  <si>
    <t xml:space="preserve">Эксперименты </t>
  </si>
  <si>
    <t>Обработка эксперимента</t>
  </si>
  <si>
    <t>температура</t>
  </si>
  <si>
    <t>№</t>
  </si>
  <si>
    <t xml:space="preserve">Температура </t>
  </si>
  <si>
    <r>
      <t>Y</t>
    </r>
    <r>
      <rPr>
        <sz val="9"/>
        <color theme="1"/>
        <rFont val="Calibri"/>
        <family val="2"/>
        <charset val="204"/>
        <scheme val="minor"/>
      </rPr>
      <t>экспер</t>
    </r>
  </si>
  <si>
    <r>
      <t>Y</t>
    </r>
    <r>
      <rPr>
        <sz val="9"/>
        <color theme="1"/>
        <rFont val="Calibri"/>
        <family val="2"/>
        <charset val="204"/>
        <scheme val="minor"/>
      </rPr>
      <t>расчет</t>
    </r>
  </si>
  <si>
    <t>Минимум</t>
  </si>
  <si>
    <t xml:space="preserve">шаг </t>
  </si>
  <si>
    <t>Персон</t>
  </si>
  <si>
    <t>Коэффициенты</t>
  </si>
  <si>
    <t>A0</t>
  </si>
  <si>
    <t>A1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</si>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</sst>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y = -0.0054x2 + 0.6014x - 5.9667 R2 = 0.9817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[1]Лист1!$F$2</c:f>
              <c:strCache>
                <c:ptCount val="1"/>
                <c:pt idx="0">
                  <c:v>Yэкспер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[1]Лист1!$E$3:$E$12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[1]Лист1!$F$3:$F$12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7</c:v>
                </c:pt>
                <c:pt idx="8">
                  <c:v>4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5-4F6D-8447-3BA1A1BBDF28}"/>
            </c:ext>
          </c:extLst>
        </c:ser>
        <c:ser>
          <c:idx val="1"/>
          <c:order val="1"/>
          <c:tx>
            <c:strRef>
              <c:f>[1]Лист1!$G$2</c:f>
              <c:strCache>
                <c:ptCount val="1"/>
                <c:pt idx="0">
                  <c:v>Yрасчет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[1]Лист1!$E$3:$E$12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[1]Лист1!$G$3:$G$12</c:f>
              <c:numCache>
                <c:formatCode>General</c:formatCode>
                <c:ptCount val="10"/>
                <c:pt idx="0">
                  <c:v>111</c:v>
                </c:pt>
                <c:pt idx="1">
                  <c:v>421</c:v>
                </c:pt>
                <c:pt idx="2">
                  <c:v>931</c:v>
                </c:pt>
                <c:pt idx="3">
                  <c:v>1641</c:v>
                </c:pt>
                <c:pt idx="4">
                  <c:v>2551</c:v>
                </c:pt>
                <c:pt idx="5">
                  <c:v>3661</c:v>
                </c:pt>
                <c:pt idx="6">
                  <c:v>4971</c:v>
                </c:pt>
                <c:pt idx="7">
                  <c:v>6481</c:v>
                </c:pt>
                <c:pt idx="8">
                  <c:v>8191</c:v>
                </c:pt>
                <c:pt idx="9">
                  <c:v>10101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65-4F6D-8447-3BA1A1BBD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619888"/>
        <c:axId val="1917619472"/>
      </c:scatterChart>
      <c:valAx>
        <c:axId val="191761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7619472"/>
        <c:crosses val="autoZero"/>
        <c:crossBetween val="midCat"/>
      </c:valAx>
      <c:valAx>
        <c:axId val="19176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7619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4</xdr:row>
      <xdr:rowOff>52387</xdr:rowOff>
    </xdr:from>
    <xdr:to>
      <xdr:col>15</xdr:col>
      <xdr:colOff>85725</xdr:colOff>
      <xdr:row>18</xdr:row>
      <xdr:rowOff>128587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B369F7-D18F-47A5-9614-414EEBB48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56;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2">
          <cell r="F2" t="str">
            <v>Yэкспер</v>
          </cell>
          <cell r="G2" t="str">
            <v>Yрасчет</v>
          </cell>
        </row>
        <row r="3">
          <cell r="E3">
            <v>10</v>
          </cell>
          <cell r="F3">
            <v>0</v>
          </cell>
          <cell r="G3">
            <v>111</v>
          </cell>
        </row>
        <row r="4">
          <cell r="E4">
            <v>20</v>
          </cell>
          <cell r="F4">
            <v>3</v>
          </cell>
          <cell r="G4">
            <v>421</v>
          </cell>
        </row>
        <row r="5">
          <cell r="E5">
            <v>30</v>
          </cell>
          <cell r="F5">
            <v>7</v>
          </cell>
          <cell r="G5">
            <v>931</v>
          </cell>
        </row>
        <row r="6">
          <cell r="E6">
            <v>40</v>
          </cell>
          <cell r="F6">
            <v>10</v>
          </cell>
          <cell r="G6">
            <v>1641</v>
          </cell>
        </row>
        <row r="7">
          <cell r="E7">
            <v>50</v>
          </cell>
          <cell r="F7">
            <v>11</v>
          </cell>
          <cell r="G7">
            <v>2551</v>
          </cell>
        </row>
        <row r="8">
          <cell r="E8">
            <v>60</v>
          </cell>
          <cell r="F8">
            <v>11</v>
          </cell>
          <cell r="G8">
            <v>3661</v>
          </cell>
        </row>
        <row r="9">
          <cell r="E9">
            <v>70</v>
          </cell>
          <cell r="F9">
            <v>10</v>
          </cell>
          <cell r="G9">
            <v>4971</v>
          </cell>
        </row>
        <row r="10">
          <cell r="E10">
            <v>80</v>
          </cell>
          <cell r="F10">
            <v>7</v>
          </cell>
          <cell r="G10">
            <v>6481</v>
          </cell>
        </row>
        <row r="11">
          <cell r="E11">
            <v>90</v>
          </cell>
          <cell r="F11">
            <v>4</v>
          </cell>
          <cell r="G11">
            <v>8191</v>
          </cell>
        </row>
        <row r="12">
          <cell r="E12">
            <v>100</v>
          </cell>
          <cell r="F12">
            <v>1</v>
          </cell>
          <cell r="G12">
            <v>10101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Q8" sqref="Q8"/>
    </sheetView>
  </sheetViews>
  <sheetFormatPr defaultRowHeight="15" x14ac:dyDescent="0.25"/>
  <cols>
    <col min="1" max="1" width="13.140625" customWidth="1"/>
    <col min="9" max="9" width="10" customWidth="1"/>
    <col min="10" max="10" width="10" bestFit="1" customWidth="1"/>
  </cols>
  <sheetData>
    <row r="1" spans="1:10" ht="31.5" customHeight="1" x14ac:dyDescent="0.25">
      <c r="A1" s="1" t="s">
        <v>0</v>
      </c>
      <c r="B1" s="1"/>
      <c r="D1" s="2" t="s">
        <v>1</v>
      </c>
      <c r="E1" s="2"/>
      <c r="F1" s="2"/>
      <c r="G1" s="2"/>
      <c r="I1" s="3" t="s">
        <v>2</v>
      </c>
      <c r="J1" s="3"/>
    </row>
    <row r="2" spans="1:10" x14ac:dyDescent="0.25">
      <c r="A2" s="4" t="s">
        <v>3</v>
      </c>
      <c r="B2" s="4">
        <v>10</v>
      </c>
      <c r="D2" s="4" t="s">
        <v>4</v>
      </c>
      <c r="E2" s="4" t="s">
        <v>5</v>
      </c>
      <c r="F2" s="4" t="s">
        <v>6</v>
      </c>
      <c r="G2" s="4" t="s">
        <v>7</v>
      </c>
      <c r="I2" s="4" t="s">
        <v>8</v>
      </c>
      <c r="J2" s="4">
        <f>SUMXMY2(F3:F12,G3:G12)</f>
        <v>259036248</v>
      </c>
    </row>
    <row r="3" spans="1:10" x14ac:dyDescent="0.25">
      <c r="A3" s="4" t="s">
        <v>9</v>
      </c>
      <c r="B3" s="4">
        <v>10</v>
      </c>
      <c r="D3" s="4">
        <v>1</v>
      </c>
      <c r="E3" s="4">
        <f>B2</f>
        <v>10</v>
      </c>
      <c r="F3" s="4">
        <v>0</v>
      </c>
      <c r="G3" s="4">
        <f>$B$6+$B$7*E3+$B$8*E3^2</f>
        <v>111</v>
      </c>
      <c r="I3" s="4" t="s">
        <v>10</v>
      </c>
      <c r="J3" s="4">
        <f>PEARSON(F3:F12,G3:G12)</f>
        <v>-0.15094377576013196</v>
      </c>
    </row>
    <row r="4" spans="1:10" x14ac:dyDescent="0.25">
      <c r="D4" s="4">
        <v>2</v>
      </c>
      <c r="E4" s="4">
        <f>E3+$B$3</f>
        <v>20</v>
      </c>
      <c r="F4" s="4">
        <v>3</v>
      </c>
      <c r="G4" s="4">
        <f t="shared" ref="G4:G12" si="0">$B$6+$B$7*E4+$B$8*E4^2</f>
        <v>421</v>
      </c>
    </row>
    <row r="5" spans="1:10" x14ac:dyDescent="0.25">
      <c r="A5" s="1" t="s">
        <v>11</v>
      </c>
      <c r="B5" s="1"/>
      <c r="D5" s="4">
        <v>3</v>
      </c>
      <c r="E5" s="4">
        <f t="shared" ref="E5:E12" si="1">E4+$B$3</f>
        <v>30</v>
      </c>
      <c r="F5" s="4">
        <v>7</v>
      </c>
      <c r="G5" s="4">
        <f t="shared" si="0"/>
        <v>931</v>
      </c>
    </row>
    <row r="6" spans="1:10" x14ac:dyDescent="0.25">
      <c r="A6" s="4" t="s">
        <v>12</v>
      </c>
      <c r="B6" s="4">
        <v>1</v>
      </c>
      <c r="D6" s="4">
        <v>4</v>
      </c>
      <c r="E6" s="4">
        <f t="shared" si="1"/>
        <v>40</v>
      </c>
      <c r="F6" s="4">
        <v>10</v>
      </c>
      <c r="G6" s="4">
        <f t="shared" si="0"/>
        <v>1641</v>
      </c>
    </row>
    <row r="7" spans="1:10" x14ac:dyDescent="0.25">
      <c r="A7" s="4" t="s">
        <v>13</v>
      </c>
      <c r="B7" s="4">
        <v>1</v>
      </c>
      <c r="D7" s="4">
        <v>5</v>
      </c>
      <c r="E7" s="4">
        <f t="shared" si="1"/>
        <v>50</v>
      </c>
      <c r="F7" s="4">
        <v>11</v>
      </c>
      <c r="G7" s="4">
        <f t="shared" si="0"/>
        <v>2551</v>
      </c>
    </row>
    <row r="8" spans="1:10" x14ac:dyDescent="0.25">
      <c r="A8" s="4" t="s">
        <v>14</v>
      </c>
      <c r="B8" s="4">
        <v>1</v>
      </c>
      <c r="D8" s="4">
        <v>6</v>
      </c>
      <c r="E8" s="4">
        <f t="shared" si="1"/>
        <v>60</v>
      </c>
      <c r="F8" s="4">
        <v>11</v>
      </c>
      <c r="G8" s="4">
        <f t="shared" si="0"/>
        <v>3661</v>
      </c>
    </row>
    <row r="9" spans="1:10" x14ac:dyDescent="0.25">
      <c r="D9" s="4">
        <v>7</v>
      </c>
      <c r="E9" s="4">
        <f t="shared" si="1"/>
        <v>70</v>
      </c>
      <c r="F9" s="4">
        <v>10</v>
      </c>
      <c r="G9" s="4">
        <f t="shared" si="0"/>
        <v>4971</v>
      </c>
    </row>
    <row r="10" spans="1:10" x14ac:dyDescent="0.25">
      <c r="D10" s="4">
        <v>8</v>
      </c>
      <c r="E10" s="4">
        <f t="shared" si="1"/>
        <v>80</v>
      </c>
      <c r="F10" s="4">
        <v>7</v>
      </c>
      <c r="G10" s="4">
        <f t="shared" si="0"/>
        <v>6481</v>
      </c>
    </row>
    <row r="11" spans="1:10" x14ac:dyDescent="0.25">
      <c r="D11" s="4">
        <v>9</v>
      </c>
      <c r="E11" s="4">
        <f t="shared" si="1"/>
        <v>90</v>
      </c>
      <c r="F11" s="4">
        <v>4</v>
      </c>
      <c r="G11" s="4">
        <f t="shared" si="0"/>
        <v>8191</v>
      </c>
    </row>
    <row r="12" spans="1:10" x14ac:dyDescent="0.25">
      <c r="D12" s="4">
        <v>10</v>
      </c>
      <c r="E12" s="4">
        <f t="shared" si="1"/>
        <v>100</v>
      </c>
      <c r="F12" s="4">
        <v>1</v>
      </c>
      <c r="G12" s="4">
        <f t="shared" si="0"/>
        <v>10101</v>
      </c>
    </row>
  </sheetData>
  <mergeCells count="4">
    <mergeCell ref="A1:B1"/>
    <mergeCell ref="D1:G1"/>
    <mergeCell ref="I1:J1"/>
    <mergeCell ref="A5: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2026-04-11T08:14:19Z</dcterms:modified>
</cp:coreProperties>
</file>