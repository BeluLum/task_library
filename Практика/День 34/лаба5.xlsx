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S:\students\GR_89\Ермаченко Александра\Практика\День 34\"/>
    </mc:Choice>
  </mc:AlternateContent>
  <xr:revisionPtr revIDLastSave="0" documentId="13_ncr:1_{D4B61090-2EAB-4128-8D72-8F42C262FF8F}" xr6:coauthVersionLast="47" xr6:coauthVersionMax="47" xr10:uidLastSave="{00000000-0000-0000-0000-000000000000}"/>
  <bookViews>
    <workbookView xWindow="3510" yWindow="3510" windowWidth="21600" windowHeight="111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8" i="1" l="1" a="1"/>
  <c r="A68" i="1" s="1"/>
  <c r="E64" i="1"/>
  <c r="E61" i="1" a="1"/>
  <c r="E61" i="1" s="1"/>
  <c r="A61" i="1" a="1"/>
  <c r="A61" i="1" s="1"/>
  <c r="A55" i="1" a="1"/>
  <c r="A55" i="1" s="1"/>
  <c r="G52" i="1" a="1"/>
  <c r="G52" i="1" s="1"/>
  <c r="B51" i="1" a="1"/>
  <c r="B51" i="1" s="1"/>
  <c r="B55" i="1" s="1"/>
  <c r="D47" i="1"/>
  <c r="D46" i="1"/>
  <c r="D45" i="1"/>
  <c r="D44" i="1"/>
  <c r="D39" i="1"/>
  <c r="C39" i="1"/>
  <c r="B39" i="1"/>
  <c r="E39" i="1" s="1"/>
  <c r="D38" i="1"/>
  <c r="C38" i="1"/>
  <c r="B38" i="1"/>
  <c r="E38" i="1" s="1"/>
  <c r="E36" i="1"/>
  <c r="D36" i="1"/>
  <c r="C36" i="1"/>
  <c r="B36" i="1"/>
  <c r="D35" i="1"/>
  <c r="C35" i="1"/>
  <c r="B35" i="1"/>
  <c r="E35" i="1" s="1"/>
  <c r="D34" i="1"/>
  <c r="C34" i="1"/>
  <c r="B34" i="1"/>
  <c r="E34" i="1" s="1"/>
  <c r="E33" i="1"/>
  <c r="D33" i="1"/>
  <c r="C33" i="1"/>
  <c r="B33" i="1"/>
  <c r="B12" i="1"/>
  <c r="B11" i="1"/>
  <c r="B10" i="1"/>
  <c r="B7" i="1"/>
  <c r="B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<sst xmlns="http://schemas.openxmlformats.org/spreadsheetml/2006/main" count="49" uniqueCount="49">
  <si>
    <t>&gt;</t>
  </si>
  <si>
    <t>&gt;=</t>
  </si>
  <si>
    <t>&lt;</t>
  </si>
  <si>
    <t>&lt;=</t>
  </si>
  <si>
    <t>=</t>
  </si>
  <si>
    <t>&lt;&gt;</t>
  </si>
  <si>
    <t xml:space="preserve">Больше </t>
  </si>
  <si>
    <t>больше или равно</t>
  </si>
  <si>
    <t xml:space="preserve">меньше </t>
  </si>
  <si>
    <t>меньше или равно</t>
  </si>
  <si>
    <t>равно</t>
  </si>
  <si>
    <t xml:space="preserve">не равно </t>
  </si>
  <si>
    <t>Пример 1</t>
  </si>
  <si>
    <t xml:space="preserve">Пример 2 </t>
  </si>
  <si>
    <t>Пример 3</t>
  </si>
  <si>
    <t>Упражение 1</t>
  </si>
  <si>
    <t>Количество осадков (в мм)</t>
  </si>
  <si>
    <t xml:space="preserve">январь </t>
  </si>
  <si>
    <t xml:space="preserve">февраль 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</si>
  <si>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</si>
  <si>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</si>
  <si>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</si>
  <si>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</si>
  <si>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</si>
  <si>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</si>
  <si>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</si>
  <si>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</si>
  <si>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</si>
  <si>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</si>
  <si>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За три года</t>
  </si>
  <si>
    <t>Суммарно</t>
  </si>
  <si>
    <t>Максимум</t>
  </si>
  <si>
    <t>Минимум</t>
  </si>
  <si>
    <t>Среднемесячно</t>
  </si>
  <si>
    <t>Кол-во засушливых месяцев</t>
  </si>
  <si>
    <t>Осадки в незасушливые месяцы</t>
  </si>
  <si>
    <t>Упражнение 2</t>
  </si>
  <si>
    <t>Год</t>
  </si>
  <si>
    <t xml:space="preserve">Приход </t>
  </si>
  <si>
    <t xml:space="preserve">Расход </t>
  </si>
  <si>
    <t>Прибыль</t>
  </si>
  <si>
    <t>Упражение 3</t>
  </si>
  <si>
    <t xml:space="preserve">Марс </t>
  </si>
  <si>
    <t xml:space="preserve">Венера </t>
  </si>
  <si>
    <t>Венера</t>
  </si>
  <si>
    <t>Нептун</t>
  </si>
  <si>
    <t>Юпитер</t>
  </si>
  <si>
    <t>Упраженение 4</t>
  </si>
  <si>
    <t>Упражнение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</si>
</sst>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4" xfId="0" applyBorder="1"/>
    <xf numFmtId="0" fontId="0" fillId="0" borderId="15" xfId="0" applyBorder="1"/>
    <xf numFmtId="0" fontId="0" fillId="0" borderId="18" xfId="0" applyBorder="1"/>
    <xf numFmtId="164" fontId="0" fillId="0" borderId="19" xfId="0" applyNumberFormat="1" applyBorder="1"/>
    <xf numFmtId="164" fontId="0" fillId="0" borderId="20" xfId="0" applyNumberFormat="1" applyBorder="1"/>
    <xf numFmtId="164" fontId="0" fillId="0" borderId="21" xfId="0" applyNumberFormat="1" applyBorder="1"/>
    <xf numFmtId="0" fontId="0" fillId="0" borderId="22" xfId="0" applyBorder="1"/>
    <xf numFmtId="164" fontId="0" fillId="0" borderId="23" xfId="0" applyNumberFormat="1" applyBorder="1"/>
    <xf numFmtId="164" fontId="0" fillId="0" borderId="5" xfId="0" applyNumberFormat="1" applyBorder="1"/>
    <xf numFmtId="164" fontId="0" fillId="0" borderId="24" xfId="0" applyNumberFormat="1" applyBorder="1"/>
    <xf numFmtId="0" fontId="0" fillId="0" borderId="25" xfId="0" applyBorder="1"/>
    <xf numFmtId="164" fontId="0" fillId="0" borderId="26" xfId="0" applyNumberFormat="1" applyBorder="1"/>
    <xf numFmtId="164" fontId="0" fillId="0" borderId="27" xfId="0" applyNumberFormat="1" applyBorder="1"/>
    <xf numFmtId="164" fontId="0" fillId="0" borderId="28" xfId="0" applyNumberFormat="1" applyBorder="1"/>
    <xf numFmtId="0" fontId="0" fillId="0" borderId="29" xfId="0" applyBorder="1"/>
    <xf numFmtId="2" fontId="0" fillId="0" borderId="0" xfId="0" applyNumberFormat="1"/>
    <xf numFmtId="2" fontId="0" fillId="0" borderId="30" xfId="0" applyNumberFormat="1" applyBorder="1"/>
    <xf numFmtId="0" fontId="0" fillId="0" borderId="31" xfId="0" applyBorder="1"/>
    <xf numFmtId="2" fontId="0" fillId="0" borderId="11" xfId="0" applyNumberFormat="1" applyBorder="1"/>
    <xf numFmtId="2" fontId="0" fillId="0" borderId="16" xfId="0" applyNumberFormat="1" applyBorder="1"/>
    <xf numFmtId="0" fontId="0" fillId="0" borderId="1" xfId="0" applyBorder="1" applyAlignment="1">
      <alignment wrapText="1"/>
    </xf>
    <xf numFmtId="0" fontId="0" fillId="0" borderId="32" xfId="0" applyBorder="1"/>
    <xf numFmtId="0" fontId="0" fillId="0" borderId="33" xfId="0" applyBorder="1" applyAlignment="1">
      <alignment wrapText="1"/>
    </xf>
    <xf numFmtId="0" fontId="0" fillId="0" borderId="27" xfId="0" applyBorder="1"/>
    <xf numFmtId="0" fontId="0" fillId="0" borderId="28" xfId="0" applyBorder="1"/>
    <xf numFmtId="0" fontId="0" fillId="0" borderId="24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1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workbookViewId="0">
      <selection activeCell="K7" sqref="K7"/>
    </sheetView>
  </sheetViews>
  <sheetFormatPr defaultRowHeight="15" x14ac:dyDescent="0.25"/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</row>
    <row r="2" spans="1:7" x14ac:dyDescent="0.25">
      <c r="A2" s="4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6"/>
    </row>
    <row r="3" spans="1:7" ht="15.75" thickBot="1" x14ac:dyDescent="0.3">
      <c r="A3" s="7"/>
      <c r="G3" s="6"/>
    </row>
    <row r="4" spans="1:7" x14ac:dyDescent="0.25">
      <c r="A4" s="8">
        <v>3</v>
      </c>
      <c r="B4" s="9" t="b">
        <f>AND(A4&gt;=2,A4&lt;=5)</f>
        <v>1</v>
      </c>
      <c r="C4" s="3"/>
      <c r="G4" s="6"/>
    </row>
    <row r="5" spans="1:7" ht="15.75" thickBot="1" x14ac:dyDescent="0.3">
      <c r="A5" s="10" t="s">
        <v>12</v>
      </c>
      <c r="B5" s="11"/>
      <c r="C5" s="12"/>
      <c r="G5" s="6"/>
    </row>
    <row r="6" spans="1:7" ht="15.75" thickBot="1" x14ac:dyDescent="0.3">
      <c r="A6" s="7"/>
      <c r="G6" s="6"/>
    </row>
    <row r="7" spans="1:7" x14ac:dyDescent="0.25">
      <c r="A7" s="8">
        <v>4</v>
      </c>
      <c r="B7" s="9" t="b">
        <f>OR(A7&lt;2,A7&gt;5)</f>
        <v>0</v>
      </c>
      <c r="C7" s="3"/>
      <c r="G7" s="6"/>
    </row>
    <row r="8" spans="1:7" ht="15.75" thickBot="1" x14ac:dyDescent="0.3">
      <c r="A8" s="10" t="s">
        <v>13</v>
      </c>
      <c r="B8" s="11"/>
      <c r="C8" s="12"/>
      <c r="G8" s="6"/>
    </row>
    <row r="9" spans="1:7" ht="15.75" thickBot="1" x14ac:dyDescent="0.3">
      <c r="A9" s="7"/>
      <c r="G9" s="6"/>
    </row>
    <row r="10" spans="1:7" x14ac:dyDescent="0.25">
      <c r="A10" s="1">
        <v>2</v>
      </c>
      <c r="B10" s="2">
        <f>IF(A10&gt;1,A10+1,A10)</f>
        <v>3</v>
      </c>
      <c r="C10" s="3"/>
      <c r="G10" s="6"/>
    </row>
    <row r="11" spans="1:7" x14ac:dyDescent="0.25">
      <c r="A11" s="4">
        <v>2</v>
      </c>
      <c r="B11" s="5">
        <f>IF(A11&gt;60,"Превышено пороговое значение",A11)</f>
        <v>2</v>
      </c>
      <c r="C11" s="6"/>
      <c r="G11" s="6"/>
    </row>
    <row r="12" spans="1:7" x14ac:dyDescent="0.25">
      <c r="A12" s="4">
        <v>2</v>
      </c>
      <c r="B12" s="5">
        <f>IF(A12&lt;10,10,IF(A12&lt;=25,A12,25))</f>
        <v>10</v>
      </c>
      <c r="C12" s="6"/>
      <c r="G12" s="6"/>
    </row>
    <row r="13" spans="1:7" ht="15.75" thickBot="1" x14ac:dyDescent="0.3">
      <c r="A13" s="10" t="s">
        <v>14</v>
      </c>
      <c r="B13" s="11"/>
      <c r="C13" s="12"/>
      <c r="G13" s="6"/>
    </row>
    <row r="14" spans="1:7" x14ac:dyDescent="0.25">
      <c r="A14" s="13" t="s">
        <v>15</v>
      </c>
      <c r="B14" s="14"/>
      <c r="C14" s="14"/>
      <c r="D14" s="14"/>
      <c r="E14" s="14"/>
      <c r="F14" s="14"/>
      <c r="G14" s="15"/>
    </row>
    <row r="15" spans="1:7" ht="15.75" thickBot="1" x14ac:dyDescent="0.3">
      <c r="A15" s="10"/>
      <c r="B15" s="11"/>
      <c r="C15" s="11"/>
      <c r="D15" s="11"/>
      <c r="E15" s="11"/>
      <c r="F15" s="11"/>
      <c r="G15" s="12"/>
    </row>
    <row r="16" spans="1:7" ht="15.75" thickBot="1" x14ac:dyDescent="0.3"/>
    <row r="17" spans="1:6" ht="15.75" thickBot="1" x14ac:dyDescent="0.3">
      <c r="A17" s="16" t="s">
        <v>16</v>
      </c>
      <c r="B17" s="17"/>
      <c r="C17" s="17"/>
      <c r="D17" s="18"/>
      <c r="E17" s="9"/>
      <c r="F17" s="3"/>
    </row>
    <row r="18" spans="1:6" ht="15.75" thickBot="1" x14ac:dyDescent="0.3">
      <c r="A18" s="19"/>
      <c r="B18" s="20">
        <v>1992</v>
      </c>
      <c r="C18" s="21">
        <v>1993</v>
      </c>
      <c r="D18" s="22">
        <v>1994</v>
      </c>
      <c r="F18" s="6"/>
    </row>
    <row r="19" spans="1:6" x14ac:dyDescent="0.25">
      <c r="A19" s="23" t="s">
        <v>17</v>
      </c>
      <c r="B19" s="24">
        <v>37.200000000000003</v>
      </c>
      <c r="C19" s="25">
        <v>34.5</v>
      </c>
      <c r="D19" s="26">
        <v>8</v>
      </c>
      <c r="F19" s="6"/>
    </row>
    <row r="20" spans="1:6" x14ac:dyDescent="0.25">
      <c r="A20" s="27" t="s">
        <v>18</v>
      </c>
      <c r="B20" s="28">
        <v>11.4</v>
      </c>
      <c r="C20" s="29">
        <v>51.3</v>
      </c>
      <c r="D20" s="30">
        <v>1.2</v>
      </c>
      <c r="F20" s="6"/>
    </row>
    <row r="21" spans="1:6" x14ac:dyDescent="0.25">
      <c r="A21" s="27" t="s">
        <v>19</v>
      </c>
      <c r="B21" s="28">
        <v>16.5</v>
      </c>
      <c r="C21" s="29">
        <v>20.5</v>
      </c>
      <c r="D21" s="30">
        <v>3.8</v>
      </c>
      <c r="F21" s="6"/>
    </row>
    <row r="22" spans="1:6" x14ac:dyDescent="0.25">
      <c r="A22" s="27" t="s">
        <v>20</v>
      </c>
      <c r="B22" s="28">
        <v>19.5</v>
      </c>
      <c r="C22" s="29">
        <v>26.9</v>
      </c>
      <c r="D22" s="30">
        <v>11.9</v>
      </c>
      <c r="F22" s="6"/>
    </row>
    <row r="23" spans="1:6" x14ac:dyDescent="0.25">
      <c r="A23" s="27" t="s">
        <v>21</v>
      </c>
      <c r="B23" s="28">
        <v>11.7</v>
      </c>
      <c r="C23" s="29">
        <v>45.5</v>
      </c>
      <c r="D23" s="30">
        <v>66.3</v>
      </c>
      <c r="F23" s="6"/>
    </row>
    <row r="24" spans="1:6" x14ac:dyDescent="0.25">
      <c r="A24" s="27" t="s">
        <v>22</v>
      </c>
      <c r="B24" s="28">
        <v>129.1</v>
      </c>
      <c r="C24" s="29">
        <v>71.5</v>
      </c>
      <c r="D24" s="30">
        <v>60</v>
      </c>
      <c r="F24" s="6"/>
    </row>
    <row r="25" spans="1:6" x14ac:dyDescent="0.25">
      <c r="A25" s="27" t="s">
        <v>23</v>
      </c>
      <c r="B25" s="28">
        <v>57.1</v>
      </c>
      <c r="C25" s="29">
        <v>152.9</v>
      </c>
      <c r="D25" s="30">
        <v>50.6</v>
      </c>
      <c r="F25" s="6"/>
    </row>
    <row r="26" spans="1:6" x14ac:dyDescent="0.25">
      <c r="A26" s="27" t="s">
        <v>24</v>
      </c>
      <c r="B26" s="28">
        <v>43.8</v>
      </c>
      <c r="C26" s="29">
        <v>96.6</v>
      </c>
      <c r="D26" s="30">
        <v>145.19999999999999</v>
      </c>
      <c r="F26" s="6"/>
    </row>
    <row r="27" spans="1:6" x14ac:dyDescent="0.25">
      <c r="A27" s="27" t="s">
        <v>25</v>
      </c>
      <c r="B27" s="28">
        <v>85.7</v>
      </c>
      <c r="C27" s="29">
        <v>74.8</v>
      </c>
      <c r="D27" s="30">
        <v>79.900000000000006</v>
      </c>
      <c r="F27" s="6"/>
    </row>
    <row r="28" spans="1:6" x14ac:dyDescent="0.25">
      <c r="A28" s="27" t="s">
        <v>26</v>
      </c>
      <c r="B28" s="28">
        <v>86</v>
      </c>
      <c r="C28" s="29">
        <v>14.5</v>
      </c>
      <c r="D28" s="30">
        <v>74.900000000000006</v>
      </c>
      <c r="F28" s="6"/>
    </row>
    <row r="29" spans="1:6" x14ac:dyDescent="0.25">
      <c r="A29" s="27" t="s">
        <v>27</v>
      </c>
      <c r="B29" s="28">
        <v>12.5</v>
      </c>
      <c r="C29" s="29">
        <v>21</v>
      </c>
      <c r="D29" s="30">
        <v>56.6</v>
      </c>
      <c r="F29" s="6"/>
    </row>
    <row r="30" spans="1:6" ht="15.75" thickBot="1" x14ac:dyDescent="0.3">
      <c r="A30" s="31" t="s">
        <v>28</v>
      </c>
      <c r="B30" s="32">
        <v>21.2</v>
      </c>
      <c r="C30" s="33">
        <v>22.3</v>
      </c>
      <c r="D30" s="34">
        <v>9.4</v>
      </c>
      <c r="F30" s="6"/>
    </row>
    <row r="31" spans="1:6" ht="15.75" thickBot="1" x14ac:dyDescent="0.3">
      <c r="A31" s="7"/>
      <c r="F31" s="6"/>
    </row>
    <row r="32" spans="1:6" ht="15.75" thickBot="1" x14ac:dyDescent="0.3">
      <c r="A32" s="19"/>
      <c r="B32" s="20">
        <v>1992</v>
      </c>
      <c r="C32" s="21">
        <v>1993</v>
      </c>
      <c r="D32" s="22">
        <v>1994</v>
      </c>
      <c r="E32" s="19" t="s">
        <v>29</v>
      </c>
      <c r="F32" s="6"/>
    </row>
    <row r="33" spans="1:6" ht="15.75" thickBot="1" x14ac:dyDescent="0.3">
      <c r="A33" s="35" t="s">
        <v>30</v>
      </c>
      <c r="B33" s="36">
        <f>SUM(B19:B30)</f>
        <v>531.70000000000005</v>
      </c>
      <c r="C33" s="36">
        <f>SUM(C19:C30)</f>
        <v>632.29999999999995</v>
      </c>
      <c r="D33" s="36">
        <f>SUM(D19:D30)</f>
        <v>567.79999999999995</v>
      </c>
      <c r="E33" s="37">
        <f>SUM(B33:D33)</f>
        <v>1731.8</v>
      </c>
      <c r="F33" s="6"/>
    </row>
    <row r="34" spans="1:6" ht="15.75" thickBot="1" x14ac:dyDescent="0.3">
      <c r="A34" s="35" t="s">
        <v>31</v>
      </c>
      <c r="B34" s="36">
        <f>MAX(B19:B30)</f>
        <v>129.1</v>
      </c>
      <c r="C34" s="36">
        <f>MAX(C19:C30)</f>
        <v>152.9</v>
      </c>
      <c r="D34" s="36">
        <f>MAX(D19:D30)</f>
        <v>145.19999999999999</v>
      </c>
      <c r="E34" s="37">
        <f>MAX(B34:D34)</f>
        <v>152.9</v>
      </c>
      <c r="F34" s="6"/>
    </row>
    <row r="35" spans="1:6" ht="15.75" thickBot="1" x14ac:dyDescent="0.3">
      <c r="A35" s="35" t="s">
        <v>32</v>
      </c>
      <c r="B35" s="36">
        <f>MIN(B19:B30)</f>
        <v>11.4</v>
      </c>
      <c r="C35" s="36">
        <f>MIN(C19:C30)</f>
        <v>14.5</v>
      </c>
      <c r="D35" s="36">
        <f>MIN(D19:D30)</f>
        <v>1.2</v>
      </c>
      <c r="E35" s="37">
        <f>MIN(B35:D35)</f>
        <v>1.2</v>
      </c>
      <c r="F35" s="6"/>
    </row>
    <row r="36" spans="1:6" ht="15.75" thickBot="1" x14ac:dyDescent="0.3">
      <c r="A36" s="38" t="s">
        <v>33</v>
      </c>
      <c r="B36" s="39">
        <f>AVERAGE(B19:B30)</f>
        <v>44.308333333333337</v>
      </c>
      <c r="C36" s="39">
        <f>AVERAGE(C19:C30)</f>
        <v>52.691666666666663</v>
      </c>
      <c r="D36" s="39">
        <f>AVERAGE(D19:D30)</f>
        <v>47.316666666666663</v>
      </c>
      <c r="E36" s="40">
        <f>AVERAGE(B36:D36)</f>
        <v>48.105555555555554</v>
      </c>
      <c r="F36" s="6"/>
    </row>
    <row r="37" spans="1:6" ht="15.75" thickBot="1" x14ac:dyDescent="0.3">
      <c r="A37" s="7"/>
      <c r="F37" s="6"/>
    </row>
    <row r="38" spans="1:6" ht="60" x14ac:dyDescent="0.25">
      <c r="A38" s="41" t="s">
        <v>34</v>
      </c>
      <c r="B38" s="2">
        <f>COUNTIF(B19:B30,"&lt;10")</f>
        <v>0</v>
      </c>
      <c r="C38" s="2">
        <f>COUNTIF(C19:C30,"&lt;10")</f>
        <v>0</v>
      </c>
      <c r="D38" s="2">
        <f>COUNTIF(D19:D30,"&lt;10")</f>
        <v>4</v>
      </c>
      <c r="E38" s="42">
        <f>SUM(B38:D38)</f>
        <v>4</v>
      </c>
      <c r="F38" s="6"/>
    </row>
    <row r="39" spans="1:6" ht="60.75" thickBot="1" x14ac:dyDescent="0.3">
      <c r="A39" s="43" t="s">
        <v>35</v>
      </c>
      <c r="B39" s="44">
        <f>SUMIF(B19:B30,"&gt;=10")</f>
        <v>531.70000000000005</v>
      </c>
      <c r="C39" s="44">
        <f>SUMIF(C19:C30,"&gt;=10")</f>
        <v>632.29999999999995</v>
      </c>
      <c r="D39" s="44">
        <f>SUMIF(D19:D30,"&gt;=10")</f>
        <v>545.4</v>
      </c>
      <c r="E39" s="45">
        <f>SUM(B39:D39)</f>
        <v>1709.4</v>
      </c>
      <c r="F39" s="6"/>
    </row>
    <row r="40" spans="1:6" x14ac:dyDescent="0.25">
      <c r="A40" s="13" t="s">
        <v>36</v>
      </c>
      <c r="B40" s="14"/>
      <c r="C40" s="14"/>
      <c r="D40" s="14"/>
      <c r="E40" s="14"/>
      <c r="F40" s="15"/>
    </row>
    <row r="41" spans="1:6" ht="15.75" thickBot="1" x14ac:dyDescent="0.3">
      <c r="A41" s="10"/>
      <c r="B41" s="11"/>
      <c r="C41" s="11"/>
      <c r="D41" s="11"/>
      <c r="E41" s="11"/>
      <c r="F41" s="12"/>
    </row>
    <row r="42" spans="1:6" ht="15.75" thickBot="1" x14ac:dyDescent="0.3"/>
    <row r="43" spans="1:6" x14ac:dyDescent="0.25">
      <c r="A43" s="1" t="s">
        <v>37</v>
      </c>
      <c r="B43" s="2" t="s">
        <v>38</v>
      </c>
      <c r="C43" s="2" t="s">
        <v>39</v>
      </c>
      <c r="D43" s="42" t="s">
        <v>40</v>
      </c>
      <c r="E43" s="3"/>
    </row>
    <row r="44" spans="1:6" x14ac:dyDescent="0.25">
      <c r="A44" s="4">
        <v>1992</v>
      </c>
      <c r="B44" s="5">
        <v>200</v>
      </c>
      <c r="C44" s="5">
        <v>150</v>
      </c>
      <c r="D44" s="46">
        <f>B44-C44</f>
        <v>50</v>
      </c>
      <c r="E44" s="6"/>
    </row>
    <row r="45" spans="1:6" x14ac:dyDescent="0.25">
      <c r="A45" s="4">
        <v>1993</v>
      </c>
      <c r="B45" s="5">
        <v>360</v>
      </c>
      <c r="C45" s="5">
        <v>230</v>
      </c>
      <c r="D45" s="46">
        <f>B45-C45</f>
        <v>130</v>
      </c>
      <c r="E45" s="6"/>
    </row>
    <row r="46" spans="1:6" x14ac:dyDescent="0.25">
      <c r="A46" s="4">
        <v>1994</v>
      </c>
      <c r="B46" s="5">
        <v>410</v>
      </c>
      <c r="C46" s="5">
        <v>250</v>
      </c>
      <c r="D46" s="46">
        <f>B46-C46</f>
        <v>160</v>
      </c>
      <c r="E46" s="6"/>
    </row>
    <row r="47" spans="1:6" ht="15.75" thickBot="1" x14ac:dyDescent="0.3">
      <c r="A47" s="47">
        <v>1995</v>
      </c>
      <c r="B47" s="44">
        <v>200</v>
      </c>
      <c r="C47" s="44">
        <v>180</v>
      </c>
      <c r="D47" s="45">
        <f>B47-C47</f>
        <v>20</v>
      </c>
      <c r="E47" s="6"/>
    </row>
    <row r="48" spans="1:6" x14ac:dyDescent="0.25">
      <c r="A48" s="13" t="s">
        <v>41</v>
      </c>
      <c r="B48" s="14"/>
      <c r="C48" s="14"/>
      <c r="D48" s="14"/>
      <c r="E48" s="15"/>
    </row>
    <row r="49" spans="1:7" ht="15.75" thickBot="1" x14ac:dyDescent="0.3">
      <c r="A49" s="10"/>
      <c r="B49" s="11"/>
      <c r="C49" s="11"/>
      <c r="D49" s="11"/>
      <c r="E49" s="12"/>
    </row>
    <row r="50" spans="1:7" ht="15.75" thickBot="1" x14ac:dyDescent="0.3"/>
    <row r="51" spans="1:7" x14ac:dyDescent="0.25">
      <c r="A51" s="1">
        <v>1</v>
      </c>
      <c r="B51" s="42" cm="1">
        <f t="array" ref="B51:B54">SQRT(A51:A54)</f>
        <v>1</v>
      </c>
      <c r="C51" s="9"/>
      <c r="D51" s="48" t="s">
        <v>42</v>
      </c>
      <c r="E51" s="9" t="s">
        <v>43</v>
      </c>
      <c r="F51" s="9"/>
      <c r="G51" s="3" t="s">
        <v>44</v>
      </c>
    </row>
    <row r="52" spans="1:7" x14ac:dyDescent="0.25">
      <c r="A52" s="4">
        <v>4</v>
      </c>
      <c r="B52" s="46">
        <v>2</v>
      </c>
      <c r="D52" s="49" t="s">
        <v>45</v>
      </c>
      <c r="E52" s="50" t="s">
        <v>46</v>
      </c>
      <c r="F52" s="50"/>
      <c r="G52" s="51" t="b" cm="1">
        <f t="array" ref="G52">OR(EXACT(D51:E52,G51))</f>
        <v>0</v>
      </c>
    </row>
    <row r="53" spans="1:7" x14ac:dyDescent="0.25">
      <c r="A53" s="4">
        <v>9</v>
      </c>
      <c r="B53" s="46">
        <v>3</v>
      </c>
      <c r="G53" s="6"/>
    </row>
    <row r="54" spans="1:7" x14ac:dyDescent="0.25">
      <c r="A54" s="4">
        <v>16</v>
      </c>
      <c r="B54" s="46">
        <v>4</v>
      </c>
      <c r="G54" s="6"/>
    </row>
    <row r="55" spans="1:7" ht="15.75" thickBot="1" x14ac:dyDescent="0.3">
      <c r="A55" s="47" cm="1">
        <f t="array" ref="A55">SUM(SQRT(A51:A54))</f>
        <v>10</v>
      </c>
      <c r="B55" s="45">
        <f>SUM(_xlfn.ANCHORARRAY(B51))</f>
        <v>10</v>
      </c>
      <c r="G55" s="6"/>
    </row>
    <row r="56" spans="1:7" ht="15.75" thickBot="1" x14ac:dyDescent="0.3">
      <c r="A56" s="10" t="s">
        <v>47</v>
      </c>
      <c r="B56" s="11"/>
      <c r="C56" s="11"/>
      <c r="D56" s="11"/>
      <c r="E56" s="11"/>
      <c r="F56" s="11"/>
      <c r="G56" s="12"/>
    </row>
    <row r="57" spans="1:7" ht="15.75" thickBot="1" x14ac:dyDescent="0.3"/>
    <row r="58" spans="1:7" x14ac:dyDescent="0.25">
      <c r="A58" s="1">
        <v>2</v>
      </c>
      <c r="B58" s="2">
        <v>-3</v>
      </c>
      <c r="C58" s="2">
        <v>7</v>
      </c>
      <c r="D58" s="9"/>
      <c r="E58" s="2">
        <v>-1</v>
      </c>
      <c r="F58" s="2">
        <v>0</v>
      </c>
      <c r="G58" s="42">
        <v>4</v>
      </c>
    </row>
    <row r="59" spans="1:7" x14ac:dyDescent="0.25">
      <c r="A59" s="4">
        <v>-1</v>
      </c>
      <c r="B59" s="5">
        <v>5</v>
      </c>
      <c r="C59" s="5">
        <v>6</v>
      </c>
      <c r="E59" s="5">
        <v>2</v>
      </c>
      <c r="F59" s="5">
        <v>-3</v>
      </c>
      <c r="G59" s="46">
        <v>5</v>
      </c>
    </row>
    <row r="60" spans="1:7" x14ac:dyDescent="0.25">
      <c r="A60" s="7"/>
      <c r="G60" s="6"/>
    </row>
    <row r="61" spans="1:7" x14ac:dyDescent="0.25">
      <c r="A61" s="4" cm="1">
        <f t="array" ref="A61:C62">A58:C59+E58:G59</f>
        <v>1</v>
      </c>
      <c r="B61" s="5">
        <v>-3</v>
      </c>
      <c r="C61" s="5">
        <v>11</v>
      </c>
      <c r="E61" s="5" cm="1">
        <f t="array" ref="E61:G62">2*A58:C59-E58:G59</f>
        <v>5</v>
      </c>
      <c r="F61" s="5">
        <v>-6</v>
      </c>
      <c r="G61" s="46">
        <v>10</v>
      </c>
    </row>
    <row r="62" spans="1:7" ht="15.75" thickBot="1" x14ac:dyDescent="0.3">
      <c r="A62" s="47">
        <v>1</v>
      </c>
      <c r="B62" s="44">
        <v>2</v>
      </c>
      <c r="C62" s="44">
        <v>11</v>
      </c>
      <c r="D62" s="52"/>
      <c r="E62" s="44">
        <v>-4</v>
      </c>
      <c r="F62" s="44">
        <v>13</v>
      </c>
      <c r="G62" s="45">
        <v>7</v>
      </c>
    </row>
    <row r="63" spans="1:7" ht="15.75" thickBot="1" x14ac:dyDescent="0.3"/>
    <row r="64" spans="1:7" x14ac:dyDescent="0.25">
      <c r="A64" s="1">
        <v>-73</v>
      </c>
      <c r="B64" s="2">
        <v>78</v>
      </c>
      <c r="C64" s="2">
        <v>24</v>
      </c>
      <c r="D64" s="9"/>
      <c r="E64" s="9">
        <f>MDETERM(A64:C66)</f>
        <v>0.99999999994688693</v>
      </c>
      <c r="F64" s="9"/>
      <c r="G64" s="3"/>
    </row>
    <row r="65" spans="1:7" x14ac:dyDescent="0.25">
      <c r="A65" s="4">
        <v>92</v>
      </c>
      <c r="B65" s="5">
        <v>66</v>
      </c>
      <c r="C65" s="5">
        <v>25</v>
      </c>
      <c r="G65" s="6"/>
    </row>
    <row r="66" spans="1:7" x14ac:dyDescent="0.25">
      <c r="A66" s="4">
        <v>-80</v>
      </c>
      <c r="B66" s="5">
        <v>37</v>
      </c>
      <c r="C66" s="5">
        <v>10</v>
      </c>
      <c r="G66" s="6"/>
    </row>
    <row r="67" spans="1:7" x14ac:dyDescent="0.25">
      <c r="A67" s="7"/>
      <c r="G67" s="6"/>
    </row>
    <row r="68" spans="1:7" x14ac:dyDescent="0.25">
      <c r="A68" s="4" cm="1">
        <f t="array" ref="A68:C70">MINVERSE(A64:C66)</f>
        <v>-265.00000001407489</v>
      </c>
      <c r="B68" s="5">
        <v>108.00000000573598</v>
      </c>
      <c r="C68" s="5">
        <v>366.00000001943948</v>
      </c>
      <c r="G68" s="6"/>
    </row>
    <row r="69" spans="1:7" x14ac:dyDescent="0.25">
      <c r="A69" s="4">
        <v>-2920.0000001550902</v>
      </c>
      <c r="B69" s="5">
        <v>1190.0000000632042</v>
      </c>
      <c r="C69" s="5">
        <v>4033.0000002142042</v>
      </c>
      <c r="G69" s="6"/>
    </row>
    <row r="70" spans="1:7" x14ac:dyDescent="0.25">
      <c r="A70" s="4">
        <v>8684.0000004612339</v>
      </c>
      <c r="B70" s="5">
        <v>-3539.0000001879675</v>
      </c>
      <c r="C70" s="5">
        <v>-11994.000000637037</v>
      </c>
      <c r="G70" s="6"/>
    </row>
    <row r="71" spans="1:7" ht="15.75" thickBot="1" x14ac:dyDescent="0.3">
      <c r="A71" s="10" t="s">
        <v>48</v>
      </c>
      <c r="B71" s="11"/>
      <c r="C71" s="11"/>
      <c r="D71" s="11"/>
      <c r="E71" s="11"/>
      <c r="F71" s="11"/>
      <c r="G71" s="12"/>
    </row>
  </sheetData>
  <mergeCells count="9">
    <mergeCell ref="A48:E49"/>
    <mergeCell ref="A56:G56"/>
    <mergeCell ref="A71:G71"/>
    <mergeCell ref="A5:C5"/>
    <mergeCell ref="A8:C8"/>
    <mergeCell ref="A13:C13"/>
    <mergeCell ref="A14:G15"/>
    <mergeCell ref="A17:D17"/>
    <mergeCell ref="A40:F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Ермаченко Александра</dc:creator>
  <cp:lastModifiedBy>Ермаченко Александра</cp:lastModifiedBy>
  <dcterms:created xsi:type="dcterms:W3CDTF">2015-06-05T18:19:34Z</dcterms:created>
  <dcterms:modified xsi:type="dcterms:W3CDTF">2026-04-11T08:13:46Z</dcterms:modified>
</cp:coreProperties>
</file>