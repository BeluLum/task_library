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5\"/>
    </mc:Choice>
  </mc:AlternateContent>
  <xr:revisionPtr revIDLastSave="0" documentId="13_ncr:1_{E3B0CE16-B70F-418D-A2F9-8C64A47BE79D}" xr6:coauthVersionLast="47" xr6:coauthVersionMax="47" xr10:uidLastSave="{00000000-0000-0000-0000-000000000000}"/>
  <bookViews>
    <workbookView xWindow="4155" yWindow="4155" windowWidth="21600" windowHeight="11100" activeTab="2" xr2:uid="{00000000-000D-0000-FFFF-FFFF00000000}"/>
  </bookViews>
  <sheets>
    <sheet name="Иванова" sheetId="1" r:id="rId1"/>
    <sheet name="Петрова" sheetId="2" r:id="rId2"/>
    <sheet name="Сидорова" sheetId="3" r:id="rId3"/>
    <sheet name="Итого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9" i="4" l="1"/>
  <c r="C118" i="4"/>
  <c r="B118" i="4"/>
  <c r="C117" i="4"/>
  <c r="B117" i="4"/>
  <c r="B119" i="4" s="1"/>
  <c r="C116" i="4"/>
  <c r="B116" i="4"/>
  <c r="C115" i="4"/>
  <c r="B115" i="4"/>
  <c r="B114" i="4"/>
  <c r="C113" i="4"/>
  <c r="B113" i="4"/>
  <c r="C112" i="4"/>
  <c r="C114" i="4" s="1"/>
  <c r="B112" i="4"/>
  <c r="C111" i="4"/>
  <c r="B111" i="4"/>
  <c r="B110" i="4"/>
  <c r="C109" i="4"/>
  <c r="B109" i="4"/>
  <c r="C108" i="4"/>
  <c r="C110" i="4" s="1"/>
  <c r="B108" i="4"/>
  <c r="C107" i="4"/>
  <c r="C106" i="4"/>
  <c r="B106" i="4"/>
  <c r="B107" i="4" s="1"/>
  <c r="C104" i="4"/>
  <c r="C105" i="4" s="1"/>
  <c r="B104" i="4"/>
  <c r="B105" i="4" s="1"/>
  <c r="C102" i="4"/>
  <c r="B102" i="4"/>
  <c r="C101" i="4"/>
  <c r="C103" i="4" s="1"/>
  <c r="B101" i="4"/>
  <c r="B103" i="4" s="1"/>
  <c r="C100" i="4"/>
  <c r="C99" i="4"/>
  <c r="B99" i="4"/>
  <c r="C98" i="4"/>
  <c r="B98" i="4"/>
  <c r="B100" i="4" s="1"/>
  <c r="C96" i="4"/>
  <c r="B96" i="4"/>
  <c r="C95" i="4"/>
  <c r="C97" i="4" s="1"/>
  <c r="B95" i="4"/>
  <c r="B97" i="4" s="1"/>
  <c r="C94" i="4"/>
  <c r="C93" i="4"/>
  <c r="B93" i="4"/>
  <c r="B94" i="4" s="1"/>
  <c r="B92" i="4"/>
  <c r="C91" i="4"/>
  <c r="B91" i="4"/>
  <c r="C90" i="4"/>
  <c r="B90" i="4"/>
  <c r="C89" i="4"/>
  <c r="C92" i="4" s="1"/>
  <c r="B89" i="4"/>
  <c r="C88" i="4"/>
  <c r="C87" i="4"/>
  <c r="B87" i="4"/>
  <c r="B88" i="4" s="1"/>
  <c r="C86" i="4"/>
  <c r="B86" i="4"/>
  <c r="C85" i="4"/>
  <c r="B85" i="4"/>
  <c r="B84" i="4"/>
  <c r="C83" i="4"/>
  <c r="B83" i="4"/>
  <c r="C82" i="4"/>
  <c r="C84" i="4" s="1"/>
  <c r="B82" i="4"/>
  <c r="C80" i="4"/>
  <c r="B80" i="4"/>
  <c r="C79" i="4"/>
  <c r="B79" i="4"/>
  <c r="C78" i="4"/>
  <c r="C81" i="4" s="1"/>
  <c r="B78" i="4"/>
  <c r="B81" i="4" s="1"/>
  <c r="C77" i="4"/>
  <c r="C76" i="4"/>
  <c r="B76" i="4"/>
  <c r="C75" i="4"/>
  <c r="B75" i="4"/>
  <c r="C74" i="4"/>
  <c r="B74" i="4"/>
  <c r="B77" i="4" s="1"/>
  <c r="C72" i="4"/>
  <c r="B72" i="4"/>
  <c r="C71" i="4"/>
  <c r="C73" i="4" s="1"/>
  <c r="B71" i="4"/>
  <c r="B73" i="4" s="1"/>
  <c r="C70" i="4"/>
  <c r="C69" i="4"/>
  <c r="B69" i="4"/>
  <c r="C68" i="4"/>
  <c r="B68" i="4"/>
  <c r="C67" i="4"/>
  <c r="B67" i="4"/>
  <c r="B70" i="4" s="1"/>
  <c r="B66" i="4"/>
  <c r="C65" i="4"/>
  <c r="B65" i="4"/>
  <c r="C64" i="4"/>
  <c r="C66" i="4" s="1"/>
  <c r="B64" i="4"/>
  <c r="C63" i="4"/>
  <c r="B63" i="4"/>
  <c r="B62" i="4"/>
  <c r="C61" i="4"/>
  <c r="B61" i="4"/>
  <c r="C60" i="4"/>
  <c r="B60" i="4"/>
  <c r="C59" i="4"/>
  <c r="B59" i="4"/>
  <c r="C58" i="4"/>
  <c r="C62" i="4" s="1"/>
  <c r="B58" i="4"/>
  <c r="C57" i="4"/>
  <c r="B57" i="4"/>
  <c r="B56" i="4"/>
  <c r="C55" i="4"/>
  <c r="B55" i="4"/>
  <c r="C54" i="4"/>
  <c r="B54" i="4"/>
  <c r="C53" i="4"/>
  <c r="C56" i="4" s="1"/>
  <c r="B53" i="4"/>
  <c r="C52" i="4"/>
  <c r="C51" i="4"/>
  <c r="B51" i="4"/>
  <c r="C50" i="4"/>
  <c r="B50" i="4"/>
  <c r="B52" i="4" s="1"/>
  <c r="C48" i="4"/>
  <c r="B48" i="4"/>
  <c r="C47" i="4"/>
  <c r="C49" i="4" s="1"/>
  <c r="B47" i="4"/>
  <c r="B49" i="4" s="1"/>
  <c r="C46" i="4"/>
  <c r="C45" i="4"/>
  <c r="B45" i="4"/>
  <c r="C44" i="4"/>
  <c r="B44" i="4"/>
  <c r="C43" i="4"/>
  <c r="B43" i="4"/>
  <c r="B46" i="4" s="1"/>
  <c r="B42" i="4"/>
  <c r="C41" i="4"/>
  <c r="C42" i="4" s="1"/>
  <c r="B41" i="4"/>
  <c r="C40" i="4"/>
  <c r="C39" i="4"/>
  <c r="B39" i="4"/>
  <c r="C38" i="4"/>
  <c r="B38" i="4"/>
  <c r="B40" i="4" s="1"/>
  <c r="C36" i="4"/>
  <c r="B36" i="4"/>
  <c r="C35" i="4"/>
  <c r="B35" i="4"/>
  <c r="C34" i="4"/>
  <c r="C37" i="4" s="1"/>
  <c r="B34" i="4"/>
  <c r="B37" i="4" s="1"/>
  <c r="C32" i="4"/>
  <c r="B32" i="4"/>
  <c r="B33" i="4" s="1"/>
  <c r="C31" i="4"/>
  <c r="C33" i="4" s="1"/>
  <c r="B31" i="4"/>
  <c r="B30" i="4"/>
  <c r="C29" i="4"/>
  <c r="B29" i="4"/>
  <c r="C28" i="4"/>
  <c r="C30" i="4" s="1"/>
  <c r="B28" i="4"/>
  <c r="C27" i="4"/>
  <c r="B27" i="4"/>
  <c r="B26" i="4"/>
  <c r="C25" i="4"/>
  <c r="B25" i="4"/>
  <c r="C24" i="4"/>
  <c r="C26" i="4" s="1"/>
  <c r="B24" i="4"/>
  <c r="C23" i="4"/>
  <c r="C22" i="4"/>
  <c r="B22" i="4"/>
  <c r="C21" i="4"/>
  <c r="B21" i="4"/>
  <c r="B23" i="4" s="1"/>
  <c r="B20" i="4"/>
  <c r="C19" i="4"/>
  <c r="B19" i="4"/>
  <c r="C18" i="4"/>
  <c r="C20" i="4" s="1"/>
  <c r="B18" i="4"/>
  <c r="C17" i="4"/>
  <c r="C16" i="4"/>
  <c r="B16" i="4"/>
  <c r="C15" i="4"/>
  <c r="B15" i="4"/>
  <c r="C14" i="4"/>
  <c r="B14" i="4"/>
  <c r="B17" i="4" s="1"/>
  <c r="C12" i="4"/>
  <c r="B12" i="4"/>
  <c r="C11" i="4"/>
  <c r="B11" i="4"/>
  <c r="C10" i="4"/>
  <c r="C13" i="4" s="1"/>
  <c r="B10" i="4"/>
  <c r="B13" i="4" s="1"/>
  <c r="C8" i="4"/>
  <c r="B8" i="4"/>
  <c r="C7" i="4"/>
  <c r="B7" i="4"/>
  <c r="C6" i="4"/>
  <c r="C9" i="4" s="1"/>
  <c r="B6" i="4"/>
  <c r="B9" i="4" s="1"/>
  <c r="C5" i="4"/>
  <c r="C4" i="4"/>
  <c r="B4" i="4"/>
  <c r="C3" i="4"/>
  <c r="B3" i="4"/>
  <c r="B5" i="4" s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<sst xmlns="http://schemas.openxmlformats.org/spreadsheetml/2006/main" count="143" uniqueCount="45">
  <si>
    <t>Реализация средств по уходу за кожей и волосами Oriflame</t>
  </si>
  <si>
    <r>
      <t xml:space="preserve">распространителем </t>
    </r>
    <r>
      <rPr>
        <b/>
        <i/>
        <sz val="9"/>
        <color indexed="53"/>
        <rFont val="Arial Cyr"/>
        <family val="2"/>
        <charset val="204"/>
      </rPr>
      <t>Ивановой И.И.</t>
    </r>
    <r>
      <rPr>
        <b/>
        <i/>
        <sz val="9"/>
        <color indexed="20"/>
        <rFont val="Arial Cyr"/>
        <charset val="204"/>
      </rPr>
      <t xml:space="preserve"> за май месяц</t>
    </r>
  </si>
  <si>
    <t>Средство</t>
  </si>
  <si>
    <t>Объем (мл)</t>
  </si>
  <si>
    <t>Цена               (у.е.)</t>
  </si>
  <si>
    <t>Кол-во проданного  (шт.)</t>
  </si>
  <si>
    <t>Выручка  (у.е.)</t>
  </si>
  <si>
    <t>Восстанавливающий крем с ретинолом</t>
  </si>
  <si>
    <t>Восстанавливающий шампунь для сухих волос</t>
  </si>
  <si>
    <t>Дневной увлажняющий крем</t>
  </si>
  <si>
    <t>Крем для рук</t>
  </si>
  <si>
    <t>Крем для тела Divine</t>
  </si>
  <si>
    <t>Ночной крем с витамином А</t>
  </si>
  <si>
    <t>Ночной увлажняющий гель</t>
  </si>
  <si>
    <t>Отшелушивающий крем</t>
  </si>
  <si>
    <t>Питательный крем для рук и тела</t>
  </si>
  <si>
    <t>Питательный ночной крем</t>
  </si>
  <si>
    <t>Солнцезащитный крем SPF30</t>
  </si>
  <si>
    <t>Увлажняюший крем для рук и тела</t>
  </si>
  <si>
    <t>Увлажняющий крем с оттенком загара</t>
  </si>
  <si>
    <t>Увлажняющий тоник</t>
  </si>
  <si>
    <t>Шампунь для окрашенных волос</t>
  </si>
  <si>
    <t xml:space="preserve">Шампунь для частого применения </t>
  </si>
  <si>
    <t>Шампунь-Баланс для поврежденных волос</t>
  </si>
  <si>
    <t>Шампунь-Питание для сухих и тонких волос</t>
  </si>
  <si>
    <t>Дневной лосьон</t>
  </si>
  <si>
    <t>Лосьон SPF15</t>
  </si>
  <si>
    <t>Освежающий тоник</t>
  </si>
  <si>
    <t xml:space="preserve">Смягчающий лосьон </t>
  </si>
  <si>
    <t>Смягчающий лосьон для тела</t>
  </si>
  <si>
    <t>Гель для душа с морскими экстрактами</t>
  </si>
  <si>
    <t>Мыло</t>
  </si>
  <si>
    <t>Бодрящий гель для душа "Грейпфрут"</t>
  </si>
  <si>
    <t>Увлажняющий крем для ванн</t>
  </si>
  <si>
    <t>Увлажняющий крем-пена для ванн</t>
  </si>
  <si>
    <r>
      <t xml:space="preserve">распространителем </t>
    </r>
    <r>
      <rPr>
        <b/>
        <i/>
        <sz val="9"/>
        <color indexed="53"/>
        <rFont val="Arial Cyr"/>
        <family val="2"/>
        <charset val="204"/>
      </rPr>
      <t>Петровой П.П.</t>
    </r>
    <r>
      <rPr>
        <b/>
        <i/>
        <sz val="9"/>
        <color indexed="20"/>
        <rFont val="Arial Cyr"/>
        <charset val="204"/>
      </rPr>
      <t xml:space="preserve"> за май месяц</t>
    </r>
  </si>
  <si>
    <t>Крем для тела Serene</t>
  </si>
  <si>
    <t>Крем с витамином E</t>
  </si>
  <si>
    <t>Питательный крем Maximum</t>
  </si>
  <si>
    <t>Лосьон после загара</t>
  </si>
  <si>
    <t>Смягчающий гель для душа</t>
  </si>
  <si>
    <r>
      <t xml:space="preserve">распространителем </t>
    </r>
    <r>
      <rPr>
        <b/>
        <i/>
        <sz val="9"/>
        <color indexed="53"/>
        <rFont val="Arial Cyr"/>
        <family val="2"/>
        <charset val="204"/>
      </rPr>
      <t>Сидоровой С.С.</t>
    </r>
    <r>
      <rPr>
        <b/>
        <i/>
        <sz val="9"/>
        <color indexed="20"/>
        <rFont val="Arial Cyr"/>
        <charset val="204"/>
      </rPr>
      <t xml:space="preserve"> за май месяц</t>
    </r>
  </si>
  <si>
    <t>Лосьон для тела Eclat</t>
  </si>
  <si>
    <t>Увлажняющий крем для душа</t>
  </si>
  <si>
    <t>Увлажняющий гель для душа и ванн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</si>
</sst>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3"/>
      <color indexed="12"/>
      <name val="Arial Cyr"/>
      <family val="2"/>
      <charset val="204"/>
    </font>
    <font>
      <b/>
      <i/>
      <sz val="9"/>
      <color indexed="20"/>
      <name val="Arial Cyr"/>
      <charset val="204"/>
    </font>
    <font>
      <b/>
      <i/>
      <sz val="9"/>
      <color indexed="53"/>
      <name val="Arial Cyr"/>
      <family val="2"/>
      <charset val="204"/>
    </font>
    <font>
      <sz val="9"/>
      <name val="Arial Cyr"/>
      <charset val="204"/>
    </font>
    <font>
      <b/>
      <sz val="9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1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1" applyNumberFormat="1" applyFont="1" applyBorder="1"/>
    <xf numFmtId="0" fontId="0" fillId="0" borderId="1" xfId="1" applyNumberFormat="1" applyFont="1" applyFill="1" applyBorder="1"/>
    <xf numFmtId="0" fontId="0" fillId="0" borderId="0" xfId="0" applyAlignment="1">
      <alignment horizontal="center"/>
    </xf>
    <xf numFmtId="0" fontId="0" fillId="0" borderId="0" xfId="1" applyNumberFormat="1" applyFo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72;&#1085;&#1085;&#1099;&#1077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ванова"/>
      <sheetName val="Петрова"/>
      <sheetName val="Сидорова"/>
      <sheetName val="Итого"/>
    </sheetNames>
    <sheetDataSet>
      <sheetData sheetId="0">
        <row r="4">
          <cell r="D4">
            <v>1</v>
          </cell>
          <cell r="E4">
            <v>14.3</v>
          </cell>
        </row>
        <row r="5">
          <cell r="D5">
            <v>5</v>
          </cell>
          <cell r="E5">
            <v>15.5</v>
          </cell>
        </row>
        <row r="6">
          <cell r="D6">
            <v>4</v>
          </cell>
          <cell r="E6">
            <v>14.6</v>
          </cell>
        </row>
        <row r="7">
          <cell r="D7">
            <v>12</v>
          </cell>
          <cell r="E7">
            <v>24</v>
          </cell>
        </row>
        <row r="8">
          <cell r="D8">
            <v>5</v>
          </cell>
          <cell r="E8">
            <v>31.5</v>
          </cell>
        </row>
        <row r="9">
          <cell r="D9">
            <v>1</v>
          </cell>
          <cell r="E9">
            <v>3.2</v>
          </cell>
        </row>
        <row r="10">
          <cell r="D10">
            <v>9</v>
          </cell>
          <cell r="E10">
            <v>37.800000000000004</v>
          </cell>
        </row>
        <row r="11">
          <cell r="D11">
            <v>7</v>
          </cell>
          <cell r="E11">
            <v>27.3</v>
          </cell>
        </row>
        <row r="12">
          <cell r="D12">
            <v>5</v>
          </cell>
          <cell r="E12">
            <v>34.75</v>
          </cell>
        </row>
        <row r="13">
          <cell r="D13">
            <v>6</v>
          </cell>
          <cell r="E13">
            <v>25.200000000000003</v>
          </cell>
        </row>
        <row r="14">
          <cell r="D14">
            <v>5</v>
          </cell>
          <cell r="E14">
            <v>33.25</v>
          </cell>
        </row>
        <row r="15">
          <cell r="D15">
            <v>4</v>
          </cell>
          <cell r="E15">
            <v>30.8</v>
          </cell>
        </row>
        <row r="16">
          <cell r="D16">
            <v>7</v>
          </cell>
          <cell r="E16">
            <v>28</v>
          </cell>
        </row>
        <row r="17">
          <cell r="D17">
            <v>8</v>
          </cell>
          <cell r="E17">
            <v>35.200000000000003</v>
          </cell>
        </row>
        <row r="18">
          <cell r="D18">
            <v>12</v>
          </cell>
          <cell r="E18">
            <v>50.400000000000006</v>
          </cell>
        </row>
        <row r="19">
          <cell r="D19">
            <v>7</v>
          </cell>
          <cell r="E19">
            <v>20.3</v>
          </cell>
        </row>
        <row r="20">
          <cell r="D20">
            <v>10</v>
          </cell>
          <cell r="E20">
            <v>47</v>
          </cell>
        </row>
        <row r="21">
          <cell r="D21">
            <v>5</v>
          </cell>
          <cell r="E21">
            <v>24</v>
          </cell>
        </row>
        <row r="22">
          <cell r="D22">
            <v>5</v>
          </cell>
          <cell r="E22">
            <v>18.25</v>
          </cell>
        </row>
        <row r="23">
          <cell r="D23">
            <v>1</v>
          </cell>
          <cell r="E23">
            <v>6.65</v>
          </cell>
        </row>
        <row r="24">
          <cell r="D24">
            <v>6</v>
          </cell>
          <cell r="E24">
            <v>26.400000000000002</v>
          </cell>
        </row>
        <row r="25">
          <cell r="D25">
            <v>3</v>
          </cell>
          <cell r="E25">
            <v>9.3000000000000007</v>
          </cell>
        </row>
        <row r="26">
          <cell r="D26">
            <v>4</v>
          </cell>
          <cell r="E26">
            <v>18</v>
          </cell>
        </row>
        <row r="27">
          <cell r="D27">
            <v>8</v>
          </cell>
          <cell r="E27">
            <v>35.200000000000003</v>
          </cell>
        </row>
        <row r="28">
          <cell r="D28">
            <v>7</v>
          </cell>
          <cell r="E28">
            <v>26.599999999999998</v>
          </cell>
        </row>
        <row r="29">
          <cell r="D29">
            <v>7</v>
          </cell>
          <cell r="E29">
            <v>9.1</v>
          </cell>
        </row>
        <row r="30">
          <cell r="D30">
            <v>8</v>
          </cell>
          <cell r="E30">
            <v>25.6</v>
          </cell>
        </row>
        <row r="31">
          <cell r="D31">
            <v>5</v>
          </cell>
          <cell r="E31">
            <v>21.5</v>
          </cell>
        </row>
        <row r="32">
          <cell r="D32">
            <v>1</v>
          </cell>
          <cell r="E32">
            <v>6.95</v>
          </cell>
        </row>
      </sheetData>
      <sheetData sheetId="1">
        <row r="4">
          <cell r="D4">
            <v>3</v>
          </cell>
          <cell r="E4">
            <v>9.3000000000000007</v>
          </cell>
        </row>
        <row r="5">
          <cell r="D5">
            <v>2</v>
          </cell>
          <cell r="E5">
            <v>7.3</v>
          </cell>
        </row>
        <row r="6">
          <cell r="D6">
            <v>14</v>
          </cell>
          <cell r="E6">
            <v>28</v>
          </cell>
        </row>
        <row r="7">
          <cell r="D7">
            <v>6</v>
          </cell>
          <cell r="E7">
            <v>37.799999999999997</v>
          </cell>
        </row>
        <row r="8">
          <cell r="D8">
            <v>5</v>
          </cell>
          <cell r="E8">
            <v>32.5</v>
          </cell>
        </row>
        <row r="9">
          <cell r="D9">
            <v>2</v>
          </cell>
          <cell r="E9">
            <v>8.5</v>
          </cell>
        </row>
        <row r="10">
          <cell r="D10">
            <v>4</v>
          </cell>
          <cell r="E10">
            <v>12.8</v>
          </cell>
        </row>
        <row r="11">
          <cell r="D11">
            <v>6</v>
          </cell>
          <cell r="E11">
            <v>23.4</v>
          </cell>
        </row>
        <row r="12">
          <cell r="D12">
            <v>4</v>
          </cell>
          <cell r="E12">
            <v>49.2</v>
          </cell>
        </row>
        <row r="13">
          <cell r="D13">
            <v>7</v>
          </cell>
          <cell r="E13">
            <v>29.400000000000002</v>
          </cell>
        </row>
        <row r="14">
          <cell r="D14">
            <v>3</v>
          </cell>
          <cell r="E14">
            <v>19.950000000000003</v>
          </cell>
        </row>
        <row r="15">
          <cell r="D15">
            <v>7</v>
          </cell>
          <cell r="E15">
            <v>53.9</v>
          </cell>
        </row>
        <row r="16">
          <cell r="D16">
            <v>3</v>
          </cell>
          <cell r="E16">
            <v>12</v>
          </cell>
        </row>
        <row r="17">
          <cell r="D17">
            <v>5</v>
          </cell>
          <cell r="E17">
            <v>22</v>
          </cell>
        </row>
        <row r="18">
          <cell r="D18">
            <v>8</v>
          </cell>
          <cell r="E18">
            <v>33.6</v>
          </cell>
        </row>
        <row r="19">
          <cell r="D19">
            <v>10</v>
          </cell>
          <cell r="E19">
            <v>29</v>
          </cell>
        </row>
        <row r="20">
          <cell r="D20">
            <v>7</v>
          </cell>
          <cell r="E20">
            <v>33.6</v>
          </cell>
        </row>
        <row r="21">
          <cell r="D21">
            <v>4</v>
          </cell>
          <cell r="E21">
            <v>14.6</v>
          </cell>
        </row>
        <row r="22">
          <cell r="D22">
            <v>2</v>
          </cell>
          <cell r="E22">
            <v>13.3</v>
          </cell>
        </row>
        <row r="23">
          <cell r="D23">
            <v>1</v>
          </cell>
          <cell r="E23">
            <v>5.75</v>
          </cell>
        </row>
        <row r="24">
          <cell r="D24">
            <v>7</v>
          </cell>
          <cell r="E24">
            <v>30.800000000000004</v>
          </cell>
        </row>
        <row r="25">
          <cell r="D25">
            <v>3</v>
          </cell>
          <cell r="E25">
            <v>13.5</v>
          </cell>
        </row>
        <row r="26">
          <cell r="D26">
            <v>5</v>
          </cell>
          <cell r="E26">
            <v>19</v>
          </cell>
        </row>
        <row r="27">
          <cell r="D27">
            <v>3</v>
          </cell>
          <cell r="E27">
            <v>3.9000000000000004</v>
          </cell>
        </row>
        <row r="28">
          <cell r="D28">
            <v>5</v>
          </cell>
          <cell r="E28">
            <v>16</v>
          </cell>
        </row>
        <row r="29">
          <cell r="D29">
            <v>4</v>
          </cell>
          <cell r="E29">
            <v>17.2</v>
          </cell>
        </row>
      </sheetData>
      <sheetData sheetId="2">
        <row r="4">
          <cell r="D4">
            <v>2</v>
          </cell>
          <cell r="E4">
            <v>28.6</v>
          </cell>
        </row>
        <row r="5">
          <cell r="D5">
            <v>2</v>
          </cell>
          <cell r="E5">
            <v>6.2</v>
          </cell>
        </row>
        <row r="6">
          <cell r="D6">
            <v>8</v>
          </cell>
          <cell r="E6">
            <v>29.2</v>
          </cell>
        </row>
        <row r="7">
          <cell r="D7">
            <v>10</v>
          </cell>
          <cell r="E7">
            <v>20</v>
          </cell>
        </row>
        <row r="8">
          <cell r="D8">
            <v>7</v>
          </cell>
          <cell r="E8">
            <v>45.5</v>
          </cell>
        </row>
        <row r="9">
          <cell r="D9">
            <v>8</v>
          </cell>
          <cell r="E9">
            <v>34</v>
          </cell>
        </row>
        <row r="10">
          <cell r="D10">
            <v>7</v>
          </cell>
          <cell r="E10">
            <v>22.400000000000002</v>
          </cell>
        </row>
        <row r="11">
          <cell r="D11">
            <v>2</v>
          </cell>
          <cell r="E11">
            <v>8.4</v>
          </cell>
        </row>
        <row r="12">
          <cell r="D12">
            <v>8</v>
          </cell>
          <cell r="E12">
            <v>31.2</v>
          </cell>
        </row>
        <row r="13">
          <cell r="D13">
            <v>4</v>
          </cell>
          <cell r="E13">
            <v>27.8</v>
          </cell>
        </row>
        <row r="14">
          <cell r="D14">
            <v>2</v>
          </cell>
          <cell r="E14">
            <v>8.4</v>
          </cell>
        </row>
        <row r="15">
          <cell r="D15">
            <v>5</v>
          </cell>
          <cell r="E15">
            <v>20</v>
          </cell>
        </row>
        <row r="16">
          <cell r="D16">
            <v>10</v>
          </cell>
          <cell r="E16">
            <v>44</v>
          </cell>
        </row>
        <row r="17">
          <cell r="D17">
            <v>9</v>
          </cell>
          <cell r="E17">
            <v>37.800000000000004</v>
          </cell>
        </row>
        <row r="18">
          <cell r="D18">
            <v>15</v>
          </cell>
          <cell r="E18">
            <v>43.5</v>
          </cell>
        </row>
        <row r="19">
          <cell r="D19">
            <v>8</v>
          </cell>
          <cell r="E19">
            <v>37.6</v>
          </cell>
        </row>
        <row r="20">
          <cell r="D20">
            <v>6</v>
          </cell>
          <cell r="E20">
            <v>28.799999999999997</v>
          </cell>
        </row>
        <row r="21">
          <cell r="D21">
            <v>2</v>
          </cell>
          <cell r="E21">
            <v>7.3</v>
          </cell>
        </row>
        <row r="22">
          <cell r="D22">
            <v>4</v>
          </cell>
          <cell r="E22">
            <v>27.8</v>
          </cell>
        </row>
        <row r="23">
          <cell r="D23">
            <v>5</v>
          </cell>
          <cell r="E23">
            <v>22</v>
          </cell>
        </row>
        <row r="24">
          <cell r="D24">
            <v>10</v>
          </cell>
          <cell r="E24">
            <v>44</v>
          </cell>
        </row>
        <row r="25">
          <cell r="D25">
            <v>6</v>
          </cell>
          <cell r="E25">
            <v>39</v>
          </cell>
        </row>
        <row r="26">
          <cell r="D26">
            <v>4</v>
          </cell>
          <cell r="E26">
            <v>12.8</v>
          </cell>
        </row>
        <row r="27">
          <cell r="D27">
            <v>2</v>
          </cell>
          <cell r="E27">
            <v>8.6</v>
          </cell>
        </row>
        <row r="28">
          <cell r="D28">
            <v>2</v>
          </cell>
          <cell r="E28">
            <v>13</v>
          </cell>
        </row>
        <row r="29">
          <cell r="D29">
            <v>2</v>
          </cell>
          <cell r="E29">
            <v>13.9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workbookViewId="0">
      <selection activeCell="G18" sqref="G18"/>
    </sheetView>
  </sheetViews>
  <sheetFormatPr defaultRowHeight="15" x14ac:dyDescent="0.25"/>
  <cols>
    <col min="1" max="1" width="42.7109375" customWidth="1"/>
    <col min="2" max="2" width="7.140625" style="14" customWidth="1"/>
    <col min="3" max="3" width="5.28515625" customWidth="1"/>
    <col min="4" max="4" width="12.140625" style="14" customWidth="1"/>
    <col min="5" max="5" width="8.28515625" bestFit="1" customWidth="1"/>
    <col min="257" max="257" width="42.7109375" customWidth="1"/>
    <col min="258" max="258" width="7.140625" customWidth="1"/>
    <col min="259" max="259" width="5.28515625" customWidth="1"/>
    <col min="260" max="260" width="12.140625" customWidth="1"/>
    <col min="261" max="261" width="8.28515625" bestFit="1" customWidth="1"/>
    <col min="513" max="513" width="42.7109375" customWidth="1"/>
    <col min="514" max="514" width="7.140625" customWidth="1"/>
    <col min="515" max="515" width="5.28515625" customWidth="1"/>
    <col min="516" max="516" width="12.140625" customWidth="1"/>
    <col min="517" max="517" width="8.28515625" bestFit="1" customWidth="1"/>
    <col min="769" max="769" width="42.7109375" customWidth="1"/>
    <col min="770" max="770" width="7.140625" customWidth="1"/>
    <col min="771" max="771" width="5.28515625" customWidth="1"/>
    <col min="772" max="772" width="12.140625" customWidth="1"/>
    <col min="773" max="773" width="8.28515625" bestFit="1" customWidth="1"/>
    <col min="1025" max="1025" width="42.7109375" customWidth="1"/>
    <col min="1026" max="1026" width="7.140625" customWidth="1"/>
    <col min="1027" max="1027" width="5.28515625" customWidth="1"/>
    <col min="1028" max="1028" width="12.140625" customWidth="1"/>
    <col min="1029" max="1029" width="8.28515625" bestFit="1" customWidth="1"/>
    <col min="1281" max="1281" width="42.7109375" customWidth="1"/>
    <col min="1282" max="1282" width="7.140625" customWidth="1"/>
    <col min="1283" max="1283" width="5.28515625" customWidth="1"/>
    <col min="1284" max="1284" width="12.140625" customWidth="1"/>
    <col min="1285" max="1285" width="8.28515625" bestFit="1" customWidth="1"/>
    <col min="1537" max="1537" width="42.7109375" customWidth="1"/>
    <col min="1538" max="1538" width="7.140625" customWidth="1"/>
    <col min="1539" max="1539" width="5.28515625" customWidth="1"/>
    <col min="1540" max="1540" width="12.140625" customWidth="1"/>
    <col min="1541" max="1541" width="8.28515625" bestFit="1" customWidth="1"/>
    <col min="1793" max="1793" width="42.7109375" customWidth="1"/>
    <col min="1794" max="1794" width="7.140625" customWidth="1"/>
    <col min="1795" max="1795" width="5.28515625" customWidth="1"/>
    <col min="1796" max="1796" width="12.140625" customWidth="1"/>
    <col min="1797" max="1797" width="8.28515625" bestFit="1" customWidth="1"/>
    <col min="2049" max="2049" width="42.7109375" customWidth="1"/>
    <col min="2050" max="2050" width="7.140625" customWidth="1"/>
    <col min="2051" max="2051" width="5.28515625" customWidth="1"/>
    <col min="2052" max="2052" width="12.140625" customWidth="1"/>
    <col min="2053" max="2053" width="8.28515625" bestFit="1" customWidth="1"/>
    <col min="2305" max="2305" width="42.7109375" customWidth="1"/>
    <col min="2306" max="2306" width="7.140625" customWidth="1"/>
    <col min="2307" max="2307" width="5.28515625" customWidth="1"/>
    <col min="2308" max="2308" width="12.140625" customWidth="1"/>
    <col min="2309" max="2309" width="8.28515625" bestFit="1" customWidth="1"/>
    <col min="2561" max="2561" width="42.7109375" customWidth="1"/>
    <col min="2562" max="2562" width="7.140625" customWidth="1"/>
    <col min="2563" max="2563" width="5.28515625" customWidth="1"/>
    <col min="2564" max="2564" width="12.140625" customWidth="1"/>
    <col min="2565" max="2565" width="8.28515625" bestFit="1" customWidth="1"/>
    <col min="2817" max="2817" width="42.7109375" customWidth="1"/>
    <col min="2818" max="2818" width="7.140625" customWidth="1"/>
    <col min="2819" max="2819" width="5.28515625" customWidth="1"/>
    <col min="2820" max="2820" width="12.140625" customWidth="1"/>
    <col min="2821" max="2821" width="8.28515625" bestFit="1" customWidth="1"/>
    <col min="3073" max="3073" width="42.7109375" customWidth="1"/>
    <col min="3074" max="3074" width="7.140625" customWidth="1"/>
    <col min="3075" max="3075" width="5.28515625" customWidth="1"/>
    <col min="3076" max="3076" width="12.140625" customWidth="1"/>
    <col min="3077" max="3077" width="8.28515625" bestFit="1" customWidth="1"/>
    <col min="3329" max="3329" width="42.7109375" customWidth="1"/>
    <col min="3330" max="3330" width="7.140625" customWidth="1"/>
    <col min="3331" max="3331" width="5.28515625" customWidth="1"/>
    <col min="3332" max="3332" width="12.140625" customWidth="1"/>
    <col min="3333" max="3333" width="8.28515625" bestFit="1" customWidth="1"/>
    <col min="3585" max="3585" width="42.7109375" customWidth="1"/>
    <col min="3586" max="3586" width="7.140625" customWidth="1"/>
    <col min="3587" max="3587" width="5.28515625" customWidth="1"/>
    <col min="3588" max="3588" width="12.140625" customWidth="1"/>
    <col min="3589" max="3589" width="8.28515625" bestFit="1" customWidth="1"/>
    <col min="3841" max="3841" width="42.7109375" customWidth="1"/>
    <col min="3842" max="3842" width="7.140625" customWidth="1"/>
    <col min="3843" max="3843" width="5.28515625" customWidth="1"/>
    <col min="3844" max="3844" width="12.140625" customWidth="1"/>
    <col min="3845" max="3845" width="8.28515625" bestFit="1" customWidth="1"/>
    <col min="4097" max="4097" width="42.7109375" customWidth="1"/>
    <col min="4098" max="4098" width="7.140625" customWidth="1"/>
    <col min="4099" max="4099" width="5.28515625" customWidth="1"/>
    <col min="4100" max="4100" width="12.140625" customWidth="1"/>
    <col min="4101" max="4101" width="8.28515625" bestFit="1" customWidth="1"/>
    <col min="4353" max="4353" width="42.7109375" customWidth="1"/>
    <col min="4354" max="4354" width="7.140625" customWidth="1"/>
    <col min="4355" max="4355" width="5.28515625" customWidth="1"/>
    <col min="4356" max="4356" width="12.140625" customWidth="1"/>
    <col min="4357" max="4357" width="8.28515625" bestFit="1" customWidth="1"/>
    <col min="4609" max="4609" width="42.7109375" customWidth="1"/>
    <col min="4610" max="4610" width="7.140625" customWidth="1"/>
    <col min="4611" max="4611" width="5.28515625" customWidth="1"/>
    <col min="4612" max="4612" width="12.140625" customWidth="1"/>
    <col min="4613" max="4613" width="8.28515625" bestFit="1" customWidth="1"/>
    <col min="4865" max="4865" width="42.7109375" customWidth="1"/>
    <col min="4866" max="4866" width="7.140625" customWidth="1"/>
    <col min="4867" max="4867" width="5.28515625" customWidth="1"/>
    <col min="4868" max="4868" width="12.140625" customWidth="1"/>
    <col min="4869" max="4869" width="8.28515625" bestFit="1" customWidth="1"/>
    <col min="5121" max="5121" width="42.7109375" customWidth="1"/>
    <col min="5122" max="5122" width="7.140625" customWidth="1"/>
    <col min="5123" max="5123" width="5.28515625" customWidth="1"/>
    <col min="5124" max="5124" width="12.140625" customWidth="1"/>
    <col min="5125" max="5125" width="8.28515625" bestFit="1" customWidth="1"/>
    <col min="5377" max="5377" width="42.7109375" customWidth="1"/>
    <col min="5378" max="5378" width="7.140625" customWidth="1"/>
    <col min="5379" max="5379" width="5.28515625" customWidth="1"/>
    <col min="5380" max="5380" width="12.140625" customWidth="1"/>
    <col min="5381" max="5381" width="8.28515625" bestFit="1" customWidth="1"/>
    <col min="5633" max="5633" width="42.7109375" customWidth="1"/>
    <col min="5634" max="5634" width="7.140625" customWidth="1"/>
    <col min="5635" max="5635" width="5.28515625" customWidth="1"/>
    <col min="5636" max="5636" width="12.140625" customWidth="1"/>
    <col min="5637" max="5637" width="8.28515625" bestFit="1" customWidth="1"/>
    <col min="5889" max="5889" width="42.7109375" customWidth="1"/>
    <col min="5890" max="5890" width="7.140625" customWidth="1"/>
    <col min="5891" max="5891" width="5.28515625" customWidth="1"/>
    <col min="5892" max="5892" width="12.140625" customWidth="1"/>
    <col min="5893" max="5893" width="8.28515625" bestFit="1" customWidth="1"/>
    <col min="6145" max="6145" width="42.7109375" customWidth="1"/>
    <col min="6146" max="6146" width="7.140625" customWidth="1"/>
    <col min="6147" max="6147" width="5.28515625" customWidth="1"/>
    <col min="6148" max="6148" width="12.140625" customWidth="1"/>
    <col min="6149" max="6149" width="8.28515625" bestFit="1" customWidth="1"/>
    <col min="6401" max="6401" width="42.7109375" customWidth="1"/>
    <col min="6402" max="6402" width="7.140625" customWidth="1"/>
    <col min="6403" max="6403" width="5.28515625" customWidth="1"/>
    <col min="6404" max="6404" width="12.140625" customWidth="1"/>
    <col min="6405" max="6405" width="8.28515625" bestFit="1" customWidth="1"/>
    <col min="6657" max="6657" width="42.7109375" customWidth="1"/>
    <col min="6658" max="6658" width="7.140625" customWidth="1"/>
    <col min="6659" max="6659" width="5.28515625" customWidth="1"/>
    <col min="6660" max="6660" width="12.140625" customWidth="1"/>
    <col min="6661" max="6661" width="8.28515625" bestFit="1" customWidth="1"/>
    <col min="6913" max="6913" width="42.7109375" customWidth="1"/>
    <col min="6914" max="6914" width="7.140625" customWidth="1"/>
    <col min="6915" max="6915" width="5.28515625" customWidth="1"/>
    <col min="6916" max="6916" width="12.140625" customWidth="1"/>
    <col min="6917" max="6917" width="8.28515625" bestFit="1" customWidth="1"/>
    <col min="7169" max="7169" width="42.7109375" customWidth="1"/>
    <col min="7170" max="7170" width="7.140625" customWidth="1"/>
    <col min="7171" max="7171" width="5.28515625" customWidth="1"/>
    <col min="7172" max="7172" width="12.140625" customWidth="1"/>
    <col min="7173" max="7173" width="8.28515625" bestFit="1" customWidth="1"/>
    <col min="7425" max="7425" width="42.7109375" customWidth="1"/>
    <col min="7426" max="7426" width="7.140625" customWidth="1"/>
    <col min="7427" max="7427" width="5.28515625" customWidth="1"/>
    <col min="7428" max="7428" width="12.140625" customWidth="1"/>
    <col min="7429" max="7429" width="8.28515625" bestFit="1" customWidth="1"/>
    <col min="7681" max="7681" width="42.7109375" customWidth="1"/>
    <col min="7682" max="7682" width="7.140625" customWidth="1"/>
    <col min="7683" max="7683" width="5.28515625" customWidth="1"/>
    <col min="7684" max="7684" width="12.140625" customWidth="1"/>
    <col min="7685" max="7685" width="8.28515625" bestFit="1" customWidth="1"/>
    <col min="7937" max="7937" width="42.7109375" customWidth="1"/>
    <col min="7938" max="7938" width="7.140625" customWidth="1"/>
    <col min="7939" max="7939" width="5.28515625" customWidth="1"/>
    <col min="7940" max="7940" width="12.140625" customWidth="1"/>
    <col min="7941" max="7941" width="8.28515625" bestFit="1" customWidth="1"/>
    <col min="8193" max="8193" width="42.7109375" customWidth="1"/>
    <col min="8194" max="8194" width="7.140625" customWidth="1"/>
    <col min="8195" max="8195" width="5.28515625" customWidth="1"/>
    <col min="8196" max="8196" width="12.140625" customWidth="1"/>
    <col min="8197" max="8197" width="8.28515625" bestFit="1" customWidth="1"/>
    <col min="8449" max="8449" width="42.7109375" customWidth="1"/>
    <col min="8450" max="8450" width="7.140625" customWidth="1"/>
    <col min="8451" max="8451" width="5.28515625" customWidth="1"/>
    <col min="8452" max="8452" width="12.140625" customWidth="1"/>
    <col min="8453" max="8453" width="8.28515625" bestFit="1" customWidth="1"/>
    <col min="8705" max="8705" width="42.7109375" customWidth="1"/>
    <col min="8706" max="8706" width="7.140625" customWidth="1"/>
    <col min="8707" max="8707" width="5.28515625" customWidth="1"/>
    <col min="8708" max="8708" width="12.140625" customWidth="1"/>
    <col min="8709" max="8709" width="8.28515625" bestFit="1" customWidth="1"/>
    <col min="8961" max="8961" width="42.7109375" customWidth="1"/>
    <col min="8962" max="8962" width="7.140625" customWidth="1"/>
    <col min="8963" max="8963" width="5.28515625" customWidth="1"/>
    <col min="8964" max="8964" width="12.140625" customWidth="1"/>
    <col min="8965" max="8965" width="8.28515625" bestFit="1" customWidth="1"/>
    <col min="9217" max="9217" width="42.7109375" customWidth="1"/>
    <col min="9218" max="9218" width="7.140625" customWidth="1"/>
    <col min="9219" max="9219" width="5.28515625" customWidth="1"/>
    <col min="9220" max="9220" width="12.140625" customWidth="1"/>
    <col min="9221" max="9221" width="8.28515625" bestFit="1" customWidth="1"/>
    <col min="9473" max="9473" width="42.7109375" customWidth="1"/>
    <col min="9474" max="9474" width="7.140625" customWidth="1"/>
    <col min="9475" max="9475" width="5.28515625" customWidth="1"/>
    <col min="9476" max="9476" width="12.140625" customWidth="1"/>
    <col min="9477" max="9477" width="8.28515625" bestFit="1" customWidth="1"/>
    <col min="9729" max="9729" width="42.7109375" customWidth="1"/>
    <col min="9730" max="9730" width="7.140625" customWidth="1"/>
    <col min="9731" max="9731" width="5.28515625" customWidth="1"/>
    <col min="9732" max="9732" width="12.140625" customWidth="1"/>
    <col min="9733" max="9733" width="8.28515625" bestFit="1" customWidth="1"/>
    <col min="9985" max="9985" width="42.7109375" customWidth="1"/>
    <col min="9986" max="9986" width="7.140625" customWidth="1"/>
    <col min="9987" max="9987" width="5.28515625" customWidth="1"/>
    <col min="9988" max="9988" width="12.140625" customWidth="1"/>
    <col min="9989" max="9989" width="8.28515625" bestFit="1" customWidth="1"/>
    <col min="10241" max="10241" width="42.7109375" customWidth="1"/>
    <col min="10242" max="10242" width="7.140625" customWidth="1"/>
    <col min="10243" max="10243" width="5.28515625" customWidth="1"/>
    <col min="10244" max="10244" width="12.140625" customWidth="1"/>
    <col min="10245" max="10245" width="8.28515625" bestFit="1" customWidth="1"/>
    <col min="10497" max="10497" width="42.7109375" customWidth="1"/>
    <col min="10498" max="10498" width="7.140625" customWidth="1"/>
    <col min="10499" max="10499" width="5.28515625" customWidth="1"/>
    <col min="10500" max="10500" width="12.140625" customWidth="1"/>
    <col min="10501" max="10501" width="8.28515625" bestFit="1" customWidth="1"/>
    <col min="10753" max="10753" width="42.7109375" customWidth="1"/>
    <col min="10754" max="10754" width="7.140625" customWidth="1"/>
    <col min="10755" max="10755" width="5.28515625" customWidth="1"/>
    <col min="10756" max="10756" width="12.140625" customWidth="1"/>
    <col min="10757" max="10757" width="8.28515625" bestFit="1" customWidth="1"/>
    <col min="11009" max="11009" width="42.7109375" customWidth="1"/>
    <col min="11010" max="11010" width="7.140625" customWidth="1"/>
    <col min="11011" max="11011" width="5.28515625" customWidth="1"/>
    <col min="11012" max="11012" width="12.140625" customWidth="1"/>
    <col min="11013" max="11013" width="8.28515625" bestFit="1" customWidth="1"/>
    <col min="11265" max="11265" width="42.7109375" customWidth="1"/>
    <col min="11266" max="11266" width="7.140625" customWidth="1"/>
    <col min="11267" max="11267" width="5.28515625" customWidth="1"/>
    <col min="11268" max="11268" width="12.140625" customWidth="1"/>
    <col min="11269" max="11269" width="8.28515625" bestFit="1" customWidth="1"/>
    <col min="11521" max="11521" width="42.7109375" customWidth="1"/>
    <col min="11522" max="11522" width="7.140625" customWidth="1"/>
    <col min="11523" max="11523" width="5.28515625" customWidth="1"/>
    <col min="11524" max="11524" width="12.140625" customWidth="1"/>
    <col min="11525" max="11525" width="8.28515625" bestFit="1" customWidth="1"/>
    <col min="11777" max="11777" width="42.7109375" customWidth="1"/>
    <col min="11778" max="11778" width="7.140625" customWidth="1"/>
    <col min="11779" max="11779" width="5.28515625" customWidth="1"/>
    <col min="11780" max="11780" width="12.140625" customWidth="1"/>
    <col min="11781" max="11781" width="8.28515625" bestFit="1" customWidth="1"/>
    <col min="12033" max="12033" width="42.7109375" customWidth="1"/>
    <col min="12034" max="12034" width="7.140625" customWidth="1"/>
    <col min="12035" max="12035" width="5.28515625" customWidth="1"/>
    <col min="12036" max="12036" width="12.140625" customWidth="1"/>
    <col min="12037" max="12037" width="8.28515625" bestFit="1" customWidth="1"/>
    <col min="12289" max="12289" width="42.7109375" customWidth="1"/>
    <col min="12290" max="12290" width="7.140625" customWidth="1"/>
    <col min="12291" max="12291" width="5.28515625" customWidth="1"/>
    <col min="12292" max="12292" width="12.140625" customWidth="1"/>
    <col min="12293" max="12293" width="8.28515625" bestFit="1" customWidth="1"/>
    <col min="12545" max="12545" width="42.7109375" customWidth="1"/>
    <col min="12546" max="12546" width="7.140625" customWidth="1"/>
    <col min="12547" max="12547" width="5.28515625" customWidth="1"/>
    <col min="12548" max="12548" width="12.140625" customWidth="1"/>
    <col min="12549" max="12549" width="8.28515625" bestFit="1" customWidth="1"/>
    <col min="12801" max="12801" width="42.7109375" customWidth="1"/>
    <col min="12802" max="12802" width="7.140625" customWidth="1"/>
    <col min="12803" max="12803" width="5.28515625" customWidth="1"/>
    <col min="12804" max="12804" width="12.140625" customWidth="1"/>
    <col min="12805" max="12805" width="8.28515625" bestFit="1" customWidth="1"/>
    <col min="13057" max="13057" width="42.7109375" customWidth="1"/>
    <col min="13058" max="13058" width="7.140625" customWidth="1"/>
    <col min="13059" max="13059" width="5.28515625" customWidth="1"/>
    <col min="13060" max="13060" width="12.140625" customWidth="1"/>
    <col min="13061" max="13061" width="8.28515625" bestFit="1" customWidth="1"/>
    <col min="13313" max="13313" width="42.7109375" customWidth="1"/>
    <col min="13314" max="13314" width="7.140625" customWidth="1"/>
    <col min="13315" max="13315" width="5.28515625" customWidth="1"/>
    <col min="13316" max="13316" width="12.140625" customWidth="1"/>
    <col min="13317" max="13317" width="8.28515625" bestFit="1" customWidth="1"/>
    <col min="13569" max="13569" width="42.7109375" customWidth="1"/>
    <col min="13570" max="13570" width="7.140625" customWidth="1"/>
    <col min="13571" max="13571" width="5.28515625" customWidth="1"/>
    <col min="13572" max="13572" width="12.140625" customWidth="1"/>
    <col min="13573" max="13573" width="8.28515625" bestFit="1" customWidth="1"/>
    <col min="13825" max="13825" width="42.7109375" customWidth="1"/>
    <col min="13826" max="13826" width="7.140625" customWidth="1"/>
    <col min="13827" max="13827" width="5.28515625" customWidth="1"/>
    <col min="13828" max="13828" width="12.140625" customWidth="1"/>
    <col min="13829" max="13829" width="8.28515625" bestFit="1" customWidth="1"/>
    <col min="14081" max="14081" width="42.7109375" customWidth="1"/>
    <col min="14082" max="14082" width="7.140625" customWidth="1"/>
    <col min="14083" max="14083" width="5.28515625" customWidth="1"/>
    <col min="14084" max="14084" width="12.140625" customWidth="1"/>
    <col min="14085" max="14085" width="8.28515625" bestFit="1" customWidth="1"/>
    <col min="14337" max="14337" width="42.7109375" customWidth="1"/>
    <col min="14338" max="14338" width="7.140625" customWidth="1"/>
    <col min="14339" max="14339" width="5.28515625" customWidth="1"/>
    <col min="14340" max="14340" width="12.140625" customWidth="1"/>
    <col min="14341" max="14341" width="8.28515625" bestFit="1" customWidth="1"/>
    <col min="14593" max="14593" width="42.7109375" customWidth="1"/>
    <col min="14594" max="14594" width="7.140625" customWidth="1"/>
    <col min="14595" max="14595" width="5.28515625" customWidth="1"/>
    <col min="14596" max="14596" width="12.140625" customWidth="1"/>
    <col min="14597" max="14597" width="8.28515625" bestFit="1" customWidth="1"/>
    <col min="14849" max="14849" width="42.7109375" customWidth="1"/>
    <col min="14850" max="14850" width="7.140625" customWidth="1"/>
    <col min="14851" max="14851" width="5.28515625" customWidth="1"/>
    <col min="14852" max="14852" width="12.140625" customWidth="1"/>
    <col min="14853" max="14853" width="8.28515625" bestFit="1" customWidth="1"/>
    <col min="15105" max="15105" width="42.7109375" customWidth="1"/>
    <col min="15106" max="15106" width="7.140625" customWidth="1"/>
    <col min="15107" max="15107" width="5.28515625" customWidth="1"/>
    <col min="15108" max="15108" width="12.140625" customWidth="1"/>
    <col min="15109" max="15109" width="8.28515625" bestFit="1" customWidth="1"/>
    <col min="15361" max="15361" width="42.7109375" customWidth="1"/>
    <col min="15362" max="15362" width="7.140625" customWidth="1"/>
    <col min="15363" max="15363" width="5.28515625" customWidth="1"/>
    <col min="15364" max="15364" width="12.140625" customWidth="1"/>
    <col min="15365" max="15365" width="8.28515625" bestFit="1" customWidth="1"/>
    <col min="15617" max="15617" width="42.7109375" customWidth="1"/>
    <col min="15618" max="15618" width="7.140625" customWidth="1"/>
    <col min="15619" max="15619" width="5.28515625" customWidth="1"/>
    <col min="15620" max="15620" width="12.140625" customWidth="1"/>
    <col min="15621" max="15621" width="8.28515625" bestFit="1" customWidth="1"/>
    <col min="15873" max="15873" width="42.7109375" customWidth="1"/>
    <col min="15874" max="15874" width="7.140625" customWidth="1"/>
    <col min="15875" max="15875" width="5.28515625" customWidth="1"/>
    <col min="15876" max="15876" width="12.140625" customWidth="1"/>
    <col min="15877" max="15877" width="8.28515625" bestFit="1" customWidth="1"/>
    <col min="16129" max="16129" width="42.7109375" customWidth="1"/>
    <col min="16130" max="16130" width="7.140625" customWidth="1"/>
    <col min="16131" max="16131" width="5.28515625" customWidth="1"/>
    <col min="16132" max="16132" width="12.140625" customWidth="1"/>
    <col min="16133" max="16133" width="8.28515625" bestFit="1" customWidth="1"/>
  </cols>
  <sheetData>
    <row r="1" spans="1:5" ht="16.5" x14ac:dyDescent="0.25">
      <c r="A1" s="1" t="s">
        <v>0</v>
      </c>
      <c r="B1" s="1"/>
      <c r="C1" s="1"/>
      <c r="D1" s="1"/>
      <c r="E1" s="1"/>
    </row>
    <row r="2" spans="1:5" s="3" customFormat="1" ht="12.75" customHeight="1" x14ac:dyDescent="0.2">
      <c r="A2" s="2" t="s">
        <v>1</v>
      </c>
      <c r="B2" s="2"/>
      <c r="C2" s="2"/>
      <c r="D2" s="2"/>
      <c r="E2" s="2"/>
    </row>
    <row r="3" spans="1:5" s="6" customFormat="1" ht="36" x14ac:dyDescent="0.25">
      <c r="A3" s="4" t="s">
        <v>2</v>
      </c>
      <c r="B3" s="4" t="s">
        <v>3</v>
      </c>
      <c r="C3" s="5" t="s">
        <v>4</v>
      </c>
      <c r="D3" s="4" t="s">
        <v>5</v>
      </c>
      <c r="E3" s="4" t="s">
        <v>6</v>
      </c>
    </row>
    <row r="4" spans="1:5" x14ac:dyDescent="0.25">
      <c r="A4" s="7" t="s">
        <v>7</v>
      </c>
      <c r="B4" s="8">
        <v>30</v>
      </c>
      <c r="C4" s="9">
        <v>14.3</v>
      </c>
      <c r="D4" s="8">
        <v>1</v>
      </c>
      <c r="E4" s="7">
        <f>D4*C4</f>
        <v>14.3</v>
      </c>
    </row>
    <row r="5" spans="1:5" x14ac:dyDescent="0.25">
      <c r="A5" s="10" t="s">
        <v>8</v>
      </c>
      <c r="B5" s="11">
        <v>200</v>
      </c>
      <c r="C5" s="12">
        <v>3.1</v>
      </c>
      <c r="D5" s="11">
        <v>5</v>
      </c>
      <c r="E5" s="7">
        <f t="shared" ref="E5:E32" si="0">D5*C5</f>
        <v>15.5</v>
      </c>
    </row>
    <row r="6" spans="1:5" x14ac:dyDescent="0.25">
      <c r="A6" s="10" t="s">
        <v>9</v>
      </c>
      <c r="B6" s="11">
        <v>50</v>
      </c>
      <c r="C6" s="12">
        <v>3.65</v>
      </c>
      <c r="D6" s="11">
        <v>4</v>
      </c>
      <c r="E6" s="7">
        <f t="shared" si="0"/>
        <v>14.6</v>
      </c>
    </row>
    <row r="7" spans="1:5" x14ac:dyDescent="0.25">
      <c r="A7" s="10" t="s">
        <v>10</v>
      </c>
      <c r="B7" s="11">
        <v>100</v>
      </c>
      <c r="C7" s="12">
        <v>2</v>
      </c>
      <c r="D7" s="11">
        <v>12</v>
      </c>
      <c r="E7" s="7">
        <f t="shared" si="0"/>
        <v>24</v>
      </c>
    </row>
    <row r="8" spans="1:5" x14ac:dyDescent="0.25">
      <c r="A8" s="10" t="s">
        <v>11</v>
      </c>
      <c r="B8" s="11">
        <v>250</v>
      </c>
      <c r="C8" s="12">
        <v>6.3</v>
      </c>
      <c r="D8" s="11">
        <v>5</v>
      </c>
      <c r="E8" s="7">
        <f t="shared" si="0"/>
        <v>31.5</v>
      </c>
    </row>
    <row r="9" spans="1:5" x14ac:dyDescent="0.25">
      <c r="A9" s="10" t="s">
        <v>12</v>
      </c>
      <c r="B9" s="11">
        <v>75</v>
      </c>
      <c r="C9" s="12">
        <v>3.2</v>
      </c>
      <c r="D9" s="11">
        <v>1</v>
      </c>
      <c r="E9" s="7">
        <f t="shared" si="0"/>
        <v>3.2</v>
      </c>
    </row>
    <row r="10" spans="1:5" x14ac:dyDescent="0.25">
      <c r="A10" s="10" t="s">
        <v>13</v>
      </c>
      <c r="B10" s="11">
        <v>50</v>
      </c>
      <c r="C10" s="12">
        <v>4.2</v>
      </c>
      <c r="D10" s="11">
        <v>9</v>
      </c>
      <c r="E10" s="7">
        <f t="shared" si="0"/>
        <v>37.800000000000004</v>
      </c>
    </row>
    <row r="11" spans="1:5" x14ac:dyDescent="0.25">
      <c r="A11" s="10" t="s">
        <v>14</v>
      </c>
      <c r="B11" s="11">
        <v>150</v>
      </c>
      <c r="C11" s="12">
        <v>3.9</v>
      </c>
      <c r="D11" s="11">
        <v>7</v>
      </c>
      <c r="E11" s="7">
        <f t="shared" si="0"/>
        <v>27.3</v>
      </c>
    </row>
    <row r="12" spans="1:5" x14ac:dyDescent="0.25">
      <c r="A12" s="10" t="s">
        <v>15</v>
      </c>
      <c r="B12" s="11">
        <v>250</v>
      </c>
      <c r="C12" s="12">
        <v>6.95</v>
      </c>
      <c r="D12" s="11">
        <v>5</v>
      </c>
      <c r="E12" s="7">
        <f t="shared" si="0"/>
        <v>34.75</v>
      </c>
    </row>
    <row r="13" spans="1:5" x14ac:dyDescent="0.25">
      <c r="A13" s="10" t="s">
        <v>16</v>
      </c>
      <c r="B13" s="11">
        <v>50</v>
      </c>
      <c r="C13" s="12">
        <v>4.2</v>
      </c>
      <c r="D13" s="11">
        <v>6</v>
      </c>
      <c r="E13" s="7">
        <f t="shared" si="0"/>
        <v>25.200000000000003</v>
      </c>
    </row>
    <row r="14" spans="1:5" x14ac:dyDescent="0.25">
      <c r="A14" s="10" t="s">
        <v>17</v>
      </c>
      <c r="B14" s="11">
        <v>100</v>
      </c>
      <c r="C14" s="12">
        <v>6.65</v>
      </c>
      <c r="D14" s="11">
        <v>5</v>
      </c>
      <c r="E14" s="7">
        <f t="shared" si="0"/>
        <v>33.25</v>
      </c>
    </row>
    <row r="15" spans="1:5" x14ac:dyDescent="0.25">
      <c r="A15" s="10" t="s">
        <v>18</v>
      </c>
      <c r="B15" s="11">
        <v>125</v>
      </c>
      <c r="C15" s="12">
        <v>7.7</v>
      </c>
      <c r="D15" s="11">
        <v>4</v>
      </c>
      <c r="E15" s="7">
        <f t="shared" si="0"/>
        <v>30.8</v>
      </c>
    </row>
    <row r="16" spans="1:5" x14ac:dyDescent="0.25">
      <c r="A16" s="10" t="s">
        <v>19</v>
      </c>
      <c r="B16" s="11">
        <v>50</v>
      </c>
      <c r="C16" s="12">
        <v>4</v>
      </c>
      <c r="D16" s="11">
        <v>7</v>
      </c>
      <c r="E16" s="7">
        <f t="shared" si="0"/>
        <v>28</v>
      </c>
    </row>
    <row r="17" spans="1:5" x14ac:dyDescent="0.25">
      <c r="A17" s="10" t="s">
        <v>20</v>
      </c>
      <c r="B17" s="11">
        <v>150</v>
      </c>
      <c r="C17" s="12">
        <v>4.4000000000000004</v>
      </c>
      <c r="D17" s="11">
        <v>8</v>
      </c>
      <c r="E17" s="7">
        <f t="shared" si="0"/>
        <v>35.200000000000003</v>
      </c>
    </row>
    <row r="18" spans="1:5" x14ac:dyDescent="0.25">
      <c r="A18" s="10" t="s">
        <v>21</v>
      </c>
      <c r="B18" s="11">
        <v>200</v>
      </c>
      <c r="C18" s="12">
        <v>4.2</v>
      </c>
      <c r="D18" s="11">
        <v>12</v>
      </c>
      <c r="E18" s="7">
        <f t="shared" si="0"/>
        <v>50.400000000000006</v>
      </c>
    </row>
    <row r="19" spans="1:5" x14ac:dyDescent="0.25">
      <c r="A19" s="10" t="s">
        <v>22</v>
      </c>
      <c r="B19" s="11">
        <v>250</v>
      </c>
      <c r="C19" s="12">
        <v>2.9</v>
      </c>
      <c r="D19" s="11">
        <v>7</v>
      </c>
      <c r="E19" s="7">
        <f t="shared" si="0"/>
        <v>20.3</v>
      </c>
    </row>
    <row r="20" spans="1:5" x14ac:dyDescent="0.25">
      <c r="A20" s="10" t="s">
        <v>23</v>
      </c>
      <c r="B20" s="11">
        <v>200</v>
      </c>
      <c r="C20" s="12">
        <v>4.7</v>
      </c>
      <c r="D20" s="11">
        <v>10</v>
      </c>
      <c r="E20" s="7">
        <f t="shared" si="0"/>
        <v>47</v>
      </c>
    </row>
    <row r="21" spans="1:5" x14ac:dyDescent="0.25">
      <c r="A21" s="10" t="s">
        <v>24</v>
      </c>
      <c r="B21" s="11">
        <v>250</v>
      </c>
      <c r="C21" s="12">
        <v>4.8</v>
      </c>
      <c r="D21" s="11">
        <v>5</v>
      </c>
      <c r="E21" s="7">
        <f t="shared" si="0"/>
        <v>24</v>
      </c>
    </row>
    <row r="22" spans="1:5" x14ac:dyDescent="0.25">
      <c r="A22" s="10" t="s">
        <v>25</v>
      </c>
      <c r="B22" s="11">
        <v>50</v>
      </c>
      <c r="C22" s="13">
        <v>3.65</v>
      </c>
      <c r="D22" s="11">
        <v>5</v>
      </c>
      <c r="E22" s="7">
        <f t="shared" si="0"/>
        <v>18.25</v>
      </c>
    </row>
    <row r="23" spans="1:5" x14ac:dyDescent="0.25">
      <c r="A23" s="10" t="s">
        <v>26</v>
      </c>
      <c r="B23" s="11">
        <v>200</v>
      </c>
      <c r="C23" s="13">
        <v>6.65</v>
      </c>
      <c r="D23" s="11">
        <v>1</v>
      </c>
      <c r="E23" s="7">
        <f t="shared" si="0"/>
        <v>6.65</v>
      </c>
    </row>
    <row r="24" spans="1:5" x14ac:dyDescent="0.25">
      <c r="A24" s="10" t="s">
        <v>27</v>
      </c>
      <c r="B24" s="11">
        <v>150</v>
      </c>
      <c r="C24" s="13">
        <v>4.4000000000000004</v>
      </c>
      <c r="D24" s="11">
        <v>6</v>
      </c>
      <c r="E24" s="7">
        <f t="shared" si="0"/>
        <v>26.400000000000002</v>
      </c>
    </row>
    <row r="25" spans="1:5" x14ac:dyDescent="0.25">
      <c r="A25" s="10" t="s">
        <v>28</v>
      </c>
      <c r="B25" s="11">
        <v>250</v>
      </c>
      <c r="C25" s="13">
        <v>3.1</v>
      </c>
      <c r="D25" s="11">
        <v>3</v>
      </c>
      <c r="E25" s="7">
        <f t="shared" si="0"/>
        <v>9.3000000000000007</v>
      </c>
    </row>
    <row r="26" spans="1:5" x14ac:dyDescent="0.25">
      <c r="A26" s="10" t="s">
        <v>29</v>
      </c>
      <c r="B26" s="11">
        <v>200</v>
      </c>
      <c r="C26" s="13">
        <v>4.5</v>
      </c>
      <c r="D26" s="11">
        <v>4</v>
      </c>
      <c r="E26" s="7">
        <f t="shared" si="0"/>
        <v>18</v>
      </c>
    </row>
    <row r="27" spans="1:5" x14ac:dyDescent="0.25">
      <c r="A27" s="10" t="s">
        <v>20</v>
      </c>
      <c r="B27" s="11">
        <v>150</v>
      </c>
      <c r="C27" s="13">
        <v>4.4000000000000004</v>
      </c>
      <c r="D27" s="11">
        <v>8</v>
      </c>
      <c r="E27" s="7">
        <f t="shared" si="0"/>
        <v>35.200000000000003</v>
      </c>
    </row>
    <row r="28" spans="1:5" x14ac:dyDescent="0.25">
      <c r="A28" s="10" t="s">
        <v>30</v>
      </c>
      <c r="B28" s="11">
        <v>150</v>
      </c>
      <c r="C28" s="13">
        <v>3.8</v>
      </c>
      <c r="D28" s="11">
        <v>7</v>
      </c>
      <c r="E28" s="7">
        <f t="shared" si="0"/>
        <v>26.599999999999998</v>
      </c>
    </row>
    <row r="29" spans="1:5" x14ac:dyDescent="0.25">
      <c r="A29" s="10" t="s">
        <v>31</v>
      </c>
      <c r="B29" s="11">
        <v>100</v>
      </c>
      <c r="C29" s="13">
        <v>1.3</v>
      </c>
      <c r="D29" s="11">
        <v>7</v>
      </c>
      <c r="E29" s="7">
        <f t="shared" si="0"/>
        <v>9.1</v>
      </c>
    </row>
    <row r="30" spans="1:5" x14ac:dyDescent="0.25">
      <c r="A30" s="10" t="s">
        <v>32</v>
      </c>
      <c r="B30" s="11">
        <v>250</v>
      </c>
      <c r="C30" s="13">
        <v>3.2</v>
      </c>
      <c r="D30" s="11">
        <v>8</v>
      </c>
      <c r="E30" s="7">
        <f t="shared" si="0"/>
        <v>25.6</v>
      </c>
    </row>
    <row r="31" spans="1:5" x14ac:dyDescent="0.25">
      <c r="A31" s="10" t="s">
        <v>33</v>
      </c>
      <c r="B31" s="11">
        <v>400</v>
      </c>
      <c r="C31" s="13">
        <v>4.3</v>
      </c>
      <c r="D31" s="11">
        <v>5</v>
      </c>
      <c r="E31" s="7">
        <f t="shared" si="0"/>
        <v>21.5</v>
      </c>
    </row>
    <row r="32" spans="1:5" x14ac:dyDescent="0.25">
      <c r="A32" s="10" t="s">
        <v>34</v>
      </c>
      <c r="B32" s="11">
        <v>300</v>
      </c>
      <c r="C32" s="13">
        <v>6.95</v>
      </c>
      <c r="D32" s="11">
        <v>1</v>
      </c>
      <c r="E32" s="7">
        <f t="shared" si="0"/>
        <v>6.95</v>
      </c>
    </row>
    <row r="33" spans="3:3" x14ac:dyDescent="0.25">
      <c r="C33" s="15"/>
    </row>
    <row r="34" spans="3:3" x14ac:dyDescent="0.25">
      <c r="C34" s="15"/>
    </row>
    <row r="35" spans="3:3" x14ac:dyDescent="0.25">
      <c r="C35" s="15"/>
    </row>
    <row r="36" spans="3:3" x14ac:dyDescent="0.25">
      <c r="C36" s="15"/>
    </row>
    <row r="37" spans="3:3" x14ac:dyDescent="0.25">
      <c r="C37" s="15"/>
    </row>
    <row r="38" spans="3:3" x14ac:dyDescent="0.25">
      <c r="C38" s="15"/>
    </row>
    <row r="39" spans="3:3" x14ac:dyDescent="0.25">
      <c r="C39" s="15"/>
    </row>
    <row r="40" spans="3:3" x14ac:dyDescent="0.25">
      <c r="C40" s="15"/>
    </row>
    <row r="41" spans="3:3" x14ac:dyDescent="0.25">
      <c r="C41" s="15"/>
    </row>
    <row r="42" spans="3:3" x14ac:dyDescent="0.25">
      <c r="C42" s="15"/>
    </row>
    <row r="43" spans="3:3" x14ac:dyDescent="0.25">
      <c r="C43" s="15"/>
    </row>
    <row r="44" spans="3:3" x14ac:dyDescent="0.25">
      <c r="C44" s="15"/>
    </row>
    <row r="45" spans="3:3" x14ac:dyDescent="0.25">
      <c r="C45" s="15"/>
    </row>
    <row r="46" spans="3:3" x14ac:dyDescent="0.25">
      <c r="C46" s="15"/>
    </row>
    <row r="47" spans="3:3" x14ac:dyDescent="0.25">
      <c r="C47" s="15"/>
    </row>
    <row r="48" spans="3:3" x14ac:dyDescent="0.25">
      <c r="C48" s="15"/>
    </row>
    <row r="49" spans="3:3" x14ac:dyDescent="0.25">
      <c r="C49" s="15"/>
    </row>
    <row r="50" spans="3:3" x14ac:dyDescent="0.25">
      <c r="C50" s="15"/>
    </row>
    <row r="51" spans="3:3" x14ac:dyDescent="0.25">
      <c r="C51" s="15"/>
    </row>
    <row r="52" spans="3:3" x14ac:dyDescent="0.25">
      <c r="C52" s="15"/>
    </row>
    <row r="53" spans="3:3" x14ac:dyDescent="0.25">
      <c r="C53" s="15"/>
    </row>
    <row r="54" spans="3:3" x14ac:dyDescent="0.25">
      <c r="C54" s="15"/>
    </row>
    <row r="55" spans="3:3" x14ac:dyDescent="0.25">
      <c r="C55" s="15"/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45E1-49E8-4C4E-A841-50D2A01A1750}">
  <dimension ref="A1:E29"/>
  <sheetViews>
    <sheetView workbookViewId="0">
      <selection activeCell="G11" sqref="G11"/>
    </sheetView>
  </sheetViews>
  <sheetFormatPr defaultRowHeight="15" x14ac:dyDescent="0.25"/>
  <sheetData>
    <row r="1" spans="1:5" ht="16.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35</v>
      </c>
      <c r="B2" s="2"/>
      <c r="C2" s="2"/>
      <c r="D2" s="2"/>
      <c r="E2" s="2"/>
    </row>
    <row r="3" spans="1:5" ht="36" x14ac:dyDescent="0.25">
      <c r="A3" s="4" t="s">
        <v>2</v>
      </c>
      <c r="B3" s="4" t="s">
        <v>3</v>
      </c>
      <c r="C3" s="5" t="s">
        <v>4</v>
      </c>
      <c r="D3" s="4" t="s">
        <v>5</v>
      </c>
      <c r="E3" s="4" t="s">
        <v>6</v>
      </c>
    </row>
    <row r="4" spans="1:5" x14ac:dyDescent="0.25">
      <c r="A4" s="10" t="s">
        <v>8</v>
      </c>
      <c r="B4" s="11">
        <v>200</v>
      </c>
      <c r="C4" s="12">
        <v>3.1</v>
      </c>
      <c r="D4" s="11">
        <v>3</v>
      </c>
      <c r="E4" s="10">
        <f>D4*C4</f>
        <v>9.3000000000000007</v>
      </c>
    </row>
    <row r="5" spans="1:5" x14ac:dyDescent="0.25">
      <c r="A5" s="10" t="s">
        <v>9</v>
      </c>
      <c r="B5" s="11">
        <v>50</v>
      </c>
      <c r="C5" s="12">
        <v>3.65</v>
      </c>
      <c r="D5" s="11">
        <v>2</v>
      </c>
      <c r="E5" s="10">
        <f t="shared" ref="E5:E29" si="0">D5*C5</f>
        <v>7.3</v>
      </c>
    </row>
    <row r="6" spans="1:5" x14ac:dyDescent="0.25">
      <c r="A6" s="10" t="s">
        <v>10</v>
      </c>
      <c r="B6" s="11">
        <v>100</v>
      </c>
      <c r="C6" s="12">
        <v>2</v>
      </c>
      <c r="D6" s="11">
        <v>14</v>
      </c>
      <c r="E6" s="10">
        <f t="shared" si="0"/>
        <v>28</v>
      </c>
    </row>
    <row r="7" spans="1:5" x14ac:dyDescent="0.25">
      <c r="A7" s="10" t="s">
        <v>11</v>
      </c>
      <c r="B7" s="11">
        <v>250</v>
      </c>
      <c r="C7" s="12">
        <v>6.3</v>
      </c>
      <c r="D7" s="11">
        <v>6</v>
      </c>
      <c r="E7" s="10">
        <f t="shared" si="0"/>
        <v>37.799999999999997</v>
      </c>
    </row>
    <row r="8" spans="1:5" x14ac:dyDescent="0.25">
      <c r="A8" s="10" t="s">
        <v>36</v>
      </c>
      <c r="B8" s="11">
        <v>250</v>
      </c>
      <c r="C8" s="12">
        <v>6.5</v>
      </c>
      <c r="D8" s="11">
        <v>5</v>
      </c>
      <c r="E8" s="10">
        <f t="shared" si="0"/>
        <v>32.5</v>
      </c>
    </row>
    <row r="9" spans="1:5" x14ac:dyDescent="0.25">
      <c r="A9" s="10" t="s">
        <v>37</v>
      </c>
      <c r="B9" s="11">
        <v>125</v>
      </c>
      <c r="C9" s="12">
        <v>4.25</v>
      </c>
      <c r="D9" s="11">
        <v>2</v>
      </c>
      <c r="E9" s="10">
        <f t="shared" si="0"/>
        <v>8.5</v>
      </c>
    </row>
    <row r="10" spans="1:5" x14ac:dyDescent="0.25">
      <c r="A10" s="10" t="s">
        <v>12</v>
      </c>
      <c r="B10" s="11">
        <v>75</v>
      </c>
      <c r="C10" s="12">
        <v>3.2</v>
      </c>
      <c r="D10" s="11">
        <v>4</v>
      </c>
      <c r="E10" s="10">
        <f t="shared" si="0"/>
        <v>12.8</v>
      </c>
    </row>
    <row r="11" spans="1:5" x14ac:dyDescent="0.25">
      <c r="A11" s="10" t="s">
        <v>14</v>
      </c>
      <c r="B11" s="11">
        <v>150</v>
      </c>
      <c r="C11" s="12">
        <v>3.9</v>
      </c>
      <c r="D11" s="11">
        <v>6</v>
      </c>
      <c r="E11" s="10">
        <f t="shared" si="0"/>
        <v>23.4</v>
      </c>
    </row>
    <row r="12" spans="1:5" x14ac:dyDescent="0.25">
      <c r="A12" s="10" t="s">
        <v>38</v>
      </c>
      <c r="B12" s="11">
        <v>50</v>
      </c>
      <c r="C12" s="12">
        <v>12.3</v>
      </c>
      <c r="D12" s="11">
        <v>4</v>
      </c>
      <c r="E12" s="10">
        <f t="shared" si="0"/>
        <v>49.2</v>
      </c>
    </row>
    <row r="13" spans="1:5" x14ac:dyDescent="0.25">
      <c r="A13" s="10" t="s">
        <v>16</v>
      </c>
      <c r="B13" s="11">
        <v>50</v>
      </c>
      <c r="C13" s="12">
        <v>4.2</v>
      </c>
      <c r="D13" s="11">
        <v>7</v>
      </c>
      <c r="E13" s="10">
        <f t="shared" si="0"/>
        <v>29.400000000000002</v>
      </c>
    </row>
    <row r="14" spans="1:5" x14ac:dyDescent="0.25">
      <c r="A14" s="10" t="s">
        <v>17</v>
      </c>
      <c r="B14" s="11">
        <v>100</v>
      </c>
      <c r="C14" s="12">
        <v>6.65</v>
      </c>
      <c r="D14" s="11">
        <v>3</v>
      </c>
      <c r="E14" s="10">
        <f t="shared" si="0"/>
        <v>19.950000000000003</v>
      </c>
    </row>
    <row r="15" spans="1:5" x14ac:dyDescent="0.25">
      <c r="A15" s="10" t="s">
        <v>18</v>
      </c>
      <c r="B15" s="11">
        <v>125</v>
      </c>
      <c r="C15" s="12">
        <v>7.7</v>
      </c>
      <c r="D15" s="11">
        <v>7</v>
      </c>
      <c r="E15" s="10">
        <f t="shared" si="0"/>
        <v>53.9</v>
      </c>
    </row>
    <row r="16" spans="1:5" x14ac:dyDescent="0.25">
      <c r="A16" s="10" t="s">
        <v>19</v>
      </c>
      <c r="B16" s="11">
        <v>50</v>
      </c>
      <c r="C16" s="12">
        <v>4</v>
      </c>
      <c r="D16" s="11">
        <v>3</v>
      </c>
      <c r="E16" s="10">
        <f t="shared" si="0"/>
        <v>12</v>
      </c>
    </row>
    <row r="17" spans="1:5" x14ac:dyDescent="0.25">
      <c r="A17" s="10" t="s">
        <v>20</v>
      </c>
      <c r="B17" s="11">
        <v>150</v>
      </c>
      <c r="C17" s="12">
        <v>4.4000000000000004</v>
      </c>
      <c r="D17" s="11">
        <v>5</v>
      </c>
      <c r="E17" s="10">
        <f t="shared" si="0"/>
        <v>22</v>
      </c>
    </row>
    <row r="18" spans="1:5" x14ac:dyDescent="0.25">
      <c r="A18" s="10" t="s">
        <v>21</v>
      </c>
      <c r="B18" s="11">
        <v>200</v>
      </c>
      <c r="C18" s="12">
        <v>4.2</v>
      </c>
      <c r="D18" s="11">
        <v>8</v>
      </c>
      <c r="E18" s="10">
        <f t="shared" si="0"/>
        <v>33.6</v>
      </c>
    </row>
    <row r="19" spans="1:5" x14ac:dyDescent="0.25">
      <c r="A19" s="10" t="s">
        <v>22</v>
      </c>
      <c r="B19" s="11">
        <v>250</v>
      </c>
      <c r="C19" s="12">
        <v>2.9</v>
      </c>
      <c r="D19" s="11">
        <v>10</v>
      </c>
      <c r="E19" s="10">
        <f t="shared" si="0"/>
        <v>29</v>
      </c>
    </row>
    <row r="20" spans="1:5" x14ac:dyDescent="0.25">
      <c r="A20" s="10" t="s">
        <v>24</v>
      </c>
      <c r="B20" s="11">
        <v>250</v>
      </c>
      <c r="C20" s="12">
        <v>4.8</v>
      </c>
      <c r="D20" s="11">
        <v>7</v>
      </c>
      <c r="E20" s="10">
        <f t="shared" si="0"/>
        <v>33.6</v>
      </c>
    </row>
    <row r="21" spans="1:5" x14ac:dyDescent="0.25">
      <c r="A21" s="10" t="s">
        <v>25</v>
      </c>
      <c r="B21" s="11">
        <v>50</v>
      </c>
      <c r="C21" s="13">
        <v>3.65</v>
      </c>
      <c r="D21" s="11">
        <v>4</v>
      </c>
      <c r="E21" s="10">
        <f t="shared" si="0"/>
        <v>14.6</v>
      </c>
    </row>
    <row r="22" spans="1:5" x14ac:dyDescent="0.25">
      <c r="A22" s="10" t="s">
        <v>26</v>
      </c>
      <c r="B22" s="11">
        <v>200</v>
      </c>
      <c r="C22" s="13">
        <v>6.65</v>
      </c>
      <c r="D22" s="11">
        <v>2</v>
      </c>
      <c r="E22" s="10">
        <f t="shared" si="0"/>
        <v>13.3</v>
      </c>
    </row>
    <row r="23" spans="1:5" x14ac:dyDescent="0.25">
      <c r="A23" s="10" t="s">
        <v>39</v>
      </c>
      <c r="B23" s="11">
        <v>200</v>
      </c>
      <c r="C23" s="13">
        <v>5.75</v>
      </c>
      <c r="D23" s="11">
        <v>1</v>
      </c>
      <c r="E23" s="10">
        <f t="shared" si="0"/>
        <v>5.75</v>
      </c>
    </row>
    <row r="24" spans="1:5" x14ac:dyDescent="0.25">
      <c r="A24" s="10" t="s">
        <v>27</v>
      </c>
      <c r="B24" s="11">
        <v>150</v>
      </c>
      <c r="C24" s="13">
        <v>4.4000000000000004</v>
      </c>
      <c r="D24" s="11">
        <v>7</v>
      </c>
      <c r="E24" s="10">
        <f t="shared" si="0"/>
        <v>30.800000000000004</v>
      </c>
    </row>
    <row r="25" spans="1:5" x14ac:dyDescent="0.25">
      <c r="A25" s="10" t="s">
        <v>29</v>
      </c>
      <c r="B25" s="11">
        <v>200</v>
      </c>
      <c r="C25" s="13">
        <v>4.5</v>
      </c>
      <c r="D25" s="11">
        <v>3</v>
      </c>
      <c r="E25" s="10">
        <f t="shared" si="0"/>
        <v>13.5</v>
      </c>
    </row>
    <row r="26" spans="1:5" x14ac:dyDescent="0.25">
      <c r="A26" s="10" t="s">
        <v>30</v>
      </c>
      <c r="B26" s="11">
        <v>150</v>
      </c>
      <c r="C26" s="13">
        <v>3.8</v>
      </c>
      <c r="D26" s="11">
        <v>5</v>
      </c>
      <c r="E26" s="10">
        <f t="shared" si="0"/>
        <v>19</v>
      </c>
    </row>
    <row r="27" spans="1:5" x14ac:dyDescent="0.25">
      <c r="A27" s="10" t="s">
        <v>31</v>
      </c>
      <c r="B27" s="11">
        <v>100</v>
      </c>
      <c r="C27" s="13">
        <v>1.3</v>
      </c>
      <c r="D27" s="11">
        <v>3</v>
      </c>
      <c r="E27" s="10">
        <f t="shared" si="0"/>
        <v>3.9000000000000004</v>
      </c>
    </row>
    <row r="28" spans="1:5" x14ac:dyDescent="0.25">
      <c r="A28" s="10" t="s">
        <v>40</v>
      </c>
      <c r="B28" s="11">
        <v>250</v>
      </c>
      <c r="C28" s="13">
        <v>3.2</v>
      </c>
      <c r="D28" s="11">
        <v>5</v>
      </c>
      <c r="E28" s="10">
        <f t="shared" si="0"/>
        <v>16</v>
      </c>
    </row>
    <row r="29" spans="1:5" x14ac:dyDescent="0.25">
      <c r="A29" s="10" t="s">
        <v>33</v>
      </c>
      <c r="B29" s="11">
        <v>400</v>
      </c>
      <c r="C29" s="13">
        <v>4.3</v>
      </c>
      <c r="D29" s="11">
        <v>4</v>
      </c>
      <c r="E29" s="10">
        <f t="shared" si="0"/>
        <v>17.2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597A-82D8-473D-831F-695F4BB25213}">
  <dimension ref="A1:E29"/>
  <sheetViews>
    <sheetView tabSelected="1" workbookViewId="0">
      <selection activeCell="G13" sqref="G13"/>
    </sheetView>
  </sheetViews>
  <sheetFormatPr defaultRowHeight="15" x14ac:dyDescent="0.25"/>
  <cols>
    <col min="1" max="1" width="42.7109375" customWidth="1"/>
    <col min="2" max="2" width="7.140625" style="14" customWidth="1"/>
    <col min="3" max="3" width="5.28515625" customWidth="1"/>
    <col min="4" max="4" width="12.140625" style="14" customWidth="1"/>
    <col min="5" max="5" width="8.28515625" bestFit="1" customWidth="1"/>
    <col min="257" max="257" width="42.7109375" customWidth="1"/>
    <col min="258" max="258" width="7.140625" customWidth="1"/>
    <col min="259" max="259" width="5.28515625" customWidth="1"/>
    <col min="260" max="260" width="12.140625" customWidth="1"/>
    <col min="261" max="261" width="8.28515625" bestFit="1" customWidth="1"/>
    <col min="513" max="513" width="42.7109375" customWidth="1"/>
    <col min="514" max="514" width="7.140625" customWidth="1"/>
    <col min="515" max="515" width="5.28515625" customWidth="1"/>
    <col min="516" max="516" width="12.140625" customWidth="1"/>
    <col min="517" max="517" width="8.28515625" bestFit="1" customWidth="1"/>
    <col min="769" max="769" width="42.7109375" customWidth="1"/>
    <col min="770" max="770" width="7.140625" customWidth="1"/>
    <col min="771" max="771" width="5.28515625" customWidth="1"/>
    <col min="772" max="772" width="12.140625" customWidth="1"/>
    <col min="773" max="773" width="8.28515625" bestFit="1" customWidth="1"/>
    <col min="1025" max="1025" width="42.7109375" customWidth="1"/>
    <col min="1026" max="1026" width="7.140625" customWidth="1"/>
    <col min="1027" max="1027" width="5.28515625" customWidth="1"/>
    <col min="1028" max="1028" width="12.140625" customWidth="1"/>
    <col min="1029" max="1029" width="8.28515625" bestFit="1" customWidth="1"/>
    <col min="1281" max="1281" width="42.7109375" customWidth="1"/>
    <col min="1282" max="1282" width="7.140625" customWidth="1"/>
    <col min="1283" max="1283" width="5.28515625" customWidth="1"/>
    <col min="1284" max="1284" width="12.140625" customWidth="1"/>
    <col min="1285" max="1285" width="8.28515625" bestFit="1" customWidth="1"/>
    <col min="1537" max="1537" width="42.7109375" customWidth="1"/>
    <col min="1538" max="1538" width="7.140625" customWidth="1"/>
    <col min="1539" max="1539" width="5.28515625" customWidth="1"/>
    <col min="1540" max="1540" width="12.140625" customWidth="1"/>
    <col min="1541" max="1541" width="8.28515625" bestFit="1" customWidth="1"/>
    <col min="1793" max="1793" width="42.7109375" customWidth="1"/>
    <col min="1794" max="1794" width="7.140625" customWidth="1"/>
    <col min="1795" max="1795" width="5.28515625" customWidth="1"/>
    <col min="1796" max="1796" width="12.140625" customWidth="1"/>
    <col min="1797" max="1797" width="8.28515625" bestFit="1" customWidth="1"/>
    <col min="2049" max="2049" width="42.7109375" customWidth="1"/>
    <col min="2050" max="2050" width="7.140625" customWidth="1"/>
    <col min="2051" max="2051" width="5.28515625" customWidth="1"/>
    <col min="2052" max="2052" width="12.140625" customWidth="1"/>
    <col min="2053" max="2053" width="8.28515625" bestFit="1" customWidth="1"/>
    <col min="2305" max="2305" width="42.7109375" customWidth="1"/>
    <col min="2306" max="2306" width="7.140625" customWidth="1"/>
    <col min="2307" max="2307" width="5.28515625" customWidth="1"/>
    <col min="2308" max="2308" width="12.140625" customWidth="1"/>
    <col min="2309" max="2309" width="8.28515625" bestFit="1" customWidth="1"/>
    <col min="2561" max="2561" width="42.7109375" customWidth="1"/>
    <col min="2562" max="2562" width="7.140625" customWidth="1"/>
    <col min="2563" max="2563" width="5.28515625" customWidth="1"/>
    <col min="2564" max="2564" width="12.140625" customWidth="1"/>
    <col min="2565" max="2565" width="8.28515625" bestFit="1" customWidth="1"/>
    <col min="2817" max="2817" width="42.7109375" customWidth="1"/>
    <col min="2818" max="2818" width="7.140625" customWidth="1"/>
    <col min="2819" max="2819" width="5.28515625" customWidth="1"/>
    <col min="2820" max="2820" width="12.140625" customWidth="1"/>
    <col min="2821" max="2821" width="8.28515625" bestFit="1" customWidth="1"/>
    <col min="3073" max="3073" width="42.7109375" customWidth="1"/>
    <col min="3074" max="3074" width="7.140625" customWidth="1"/>
    <col min="3075" max="3075" width="5.28515625" customWidth="1"/>
    <col min="3076" max="3076" width="12.140625" customWidth="1"/>
    <col min="3077" max="3077" width="8.28515625" bestFit="1" customWidth="1"/>
    <col min="3329" max="3329" width="42.7109375" customWidth="1"/>
    <col min="3330" max="3330" width="7.140625" customWidth="1"/>
    <col min="3331" max="3331" width="5.28515625" customWidth="1"/>
    <col min="3332" max="3332" width="12.140625" customWidth="1"/>
    <col min="3333" max="3333" width="8.28515625" bestFit="1" customWidth="1"/>
    <col min="3585" max="3585" width="42.7109375" customWidth="1"/>
    <col min="3586" max="3586" width="7.140625" customWidth="1"/>
    <col min="3587" max="3587" width="5.28515625" customWidth="1"/>
    <col min="3588" max="3588" width="12.140625" customWidth="1"/>
    <col min="3589" max="3589" width="8.28515625" bestFit="1" customWidth="1"/>
    <col min="3841" max="3841" width="42.7109375" customWidth="1"/>
    <col min="3842" max="3842" width="7.140625" customWidth="1"/>
    <col min="3843" max="3843" width="5.28515625" customWidth="1"/>
    <col min="3844" max="3844" width="12.140625" customWidth="1"/>
    <col min="3845" max="3845" width="8.28515625" bestFit="1" customWidth="1"/>
    <col min="4097" max="4097" width="42.7109375" customWidth="1"/>
    <col min="4098" max="4098" width="7.140625" customWidth="1"/>
    <col min="4099" max="4099" width="5.28515625" customWidth="1"/>
    <col min="4100" max="4100" width="12.140625" customWidth="1"/>
    <col min="4101" max="4101" width="8.28515625" bestFit="1" customWidth="1"/>
    <col min="4353" max="4353" width="42.7109375" customWidth="1"/>
    <col min="4354" max="4354" width="7.140625" customWidth="1"/>
    <col min="4355" max="4355" width="5.28515625" customWidth="1"/>
    <col min="4356" max="4356" width="12.140625" customWidth="1"/>
    <col min="4357" max="4357" width="8.28515625" bestFit="1" customWidth="1"/>
    <col min="4609" max="4609" width="42.7109375" customWidth="1"/>
    <col min="4610" max="4610" width="7.140625" customWidth="1"/>
    <col min="4611" max="4611" width="5.28515625" customWidth="1"/>
    <col min="4612" max="4612" width="12.140625" customWidth="1"/>
    <col min="4613" max="4613" width="8.28515625" bestFit="1" customWidth="1"/>
    <col min="4865" max="4865" width="42.7109375" customWidth="1"/>
    <col min="4866" max="4866" width="7.140625" customWidth="1"/>
    <col min="4867" max="4867" width="5.28515625" customWidth="1"/>
    <col min="4868" max="4868" width="12.140625" customWidth="1"/>
    <col min="4869" max="4869" width="8.28515625" bestFit="1" customWidth="1"/>
    <col min="5121" max="5121" width="42.7109375" customWidth="1"/>
    <col min="5122" max="5122" width="7.140625" customWidth="1"/>
    <col min="5123" max="5123" width="5.28515625" customWidth="1"/>
    <col min="5124" max="5124" width="12.140625" customWidth="1"/>
    <col min="5125" max="5125" width="8.28515625" bestFit="1" customWidth="1"/>
    <col min="5377" max="5377" width="42.7109375" customWidth="1"/>
    <col min="5378" max="5378" width="7.140625" customWidth="1"/>
    <col min="5379" max="5379" width="5.28515625" customWidth="1"/>
    <col min="5380" max="5380" width="12.140625" customWidth="1"/>
    <col min="5381" max="5381" width="8.28515625" bestFit="1" customWidth="1"/>
    <col min="5633" max="5633" width="42.7109375" customWidth="1"/>
    <col min="5634" max="5634" width="7.140625" customWidth="1"/>
    <col min="5635" max="5635" width="5.28515625" customWidth="1"/>
    <col min="5636" max="5636" width="12.140625" customWidth="1"/>
    <col min="5637" max="5637" width="8.28515625" bestFit="1" customWidth="1"/>
    <col min="5889" max="5889" width="42.7109375" customWidth="1"/>
    <col min="5890" max="5890" width="7.140625" customWidth="1"/>
    <col min="5891" max="5891" width="5.28515625" customWidth="1"/>
    <col min="5892" max="5892" width="12.140625" customWidth="1"/>
    <col min="5893" max="5893" width="8.28515625" bestFit="1" customWidth="1"/>
    <col min="6145" max="6145" width="42.7109375" customWidth="1"/>
    <col min="6146" max="6146" width="7.140625" customWidth="1"/>
    <col min="6147" max="6147" width="5.28515625" customWidth="1"/>
    <col min="6148" max="6148" width="12.140625" customWidth="1"/>
    <col min="6149" max="6149" width="8.28515625" bestFit="1" customWidth="1"/>
    <col min="6401" max="6401" width="42.7109375" customWidth="1"/>
    <col min="6402" max="6402" width="7.140625" customWidth="1"/>
    <col min="6403" max="6403" width="5.28515625" customWidth="1"/>
    <col min="6404" max="6404" width="12.140625" customWidth="1"/>
    <col min="6405" max="6405" width="8.28515625" bestFit="1" customWidth="1"/>
    <col min="6657" max="6657" width="42.7109375" customWidth="1"/>
    <col min="6658" max="6658" width="7.140625" customWidth="1"/>
    <col min="6659" max="6659" width="5.28515625" customWidth="1"/>
    <col min="6660" max="6660" width="12.140625" customWidth="1"/>
    <col min="6661" max="6661" width="8.28515625" bestFit="1" customWidth="1"/>
    <col min="6913" max="6913" width="42.7109375" customWidth="1"/>
    <col min="6914" max="6914" width="7.140625" customWidth="1"/>
    <col min="6915" max="6915" width="5.28515625" customWidth="1"/>
    <col min="6916" max="6916" width="12.140625" customWidth="1"/>
    <col min="6917" max="6917" width="8.28515625" bestFit="1" customWidth="1"/>
    <col min="7169" max="7169" width="42.7109375" customWidth="1"/>
    <col min="7170" max="7170" width="7.140625" customWidth="1"/>
    <col min="7171" max="7171" width="5.28515625" customWidth="1"/>
    <col min="7172" max="7172" width="12.140625" customWidth="1"/>
    <col min="7173" max="7173" width="8.28515625" bestFit="1" customWidth="1"/>
    <col min="7425" max="7425" width="42.7109375" customWidth="1"/>
    <col min="7426" max="7426" width="7.140625" customWidth="1"/>
    <col min="7427" max="7427" width="5.28515625" customWidth="1"/>
    <col min="7428" max="7428" width="12.140625" customWidth="1"/>
    <col min="7429" max="7429" width="8.28515625" bestFit="1" customWidth="1"/>
    <col min="7681" max="7681" width="42.7109375" customWidth="1"/>
    <col min="7682" max="7682" width="7.140625" customWidth="1"/>
    <col min="7683" max="7683" width="5.28515625" customWidth="1"/>
    <col min="7684" max="7684" width="12.140625" customWidth="1"/>
    <col min="7685" max="7685" width="8.28515625" bestFit="1" customWidth="1"/>
    <col min="7937" max="7937" width="42.7109375" customWidth="1"/>
    <col min="7938" max="7938" width="7.140625" customWidth="1"/>
    <col min="7939" max="7939" width="5.28515625" customWidth="1"/>
    <col min="7940" max="7940" width="12.140625" customWidth="1"/>
    <col min="7941" max="7941" width="8.28515625" bestFit="1" customWidth="1"/>
    <col min="8193" max="8193" width="42.7109375" customWidth="1"/>
    <col min="8194" max="8194" width="7.140625" customWidth="1"/>
    <col min="8195" max="8195" width="5.28515625" customWidth="1"/>
    <col min="8196" max="8196" width="12.140625" customWidth="1"/>
    <col min="8197" max="8197" width="8.28515625" bestFit="1" customWidth="1"/>
    <col min="8449" max="8449" width="42.7109375" customWidth="1"/>
    <col min="8450" max="8450" width="7.140625" customWidth="1"/>
    <col min="8451" max="8451" width="5.28515625" customWidth="1"/>
    <col min="8452" max="8452" width="12.140625" customWidth="1"/>
    <col min="8453" max="8453" width="8.28515625" bestFit="1" customWidth="1"/>
    <col min="8705" max="8705" width="42.7109375" customWidth="1"/>
    <col min="8706" max="8706" width="7.140625" customWidth="1"/>
    <col min="8707" max="8707" width="5.28515625" customWidth="1"/>
    <col min="8708" max="8708" width="12.140625" customWidth="1"/>
    <col min="8709" max="8709" width="8.28515625" bestFit="1" customWidth="1"/>
    <col min="8961" max="8961" width="42.7109375" customWidth="1"/>
    <col min="8962" max="8962" width="7.140625" customWidth="1"/>
    <col min="8963" max="8963" width="5.28515625" customWidth="1"/>
    <col min="8964" max="8964" width="12.140625" customWidth="1"/>
    <col min="8965" max="8965" width="8.28515625" bestFit="1" customWidth="1"/>
    <col min="9217" max="9217" width="42.7109375" customWidth="1"/>
    <col min="9218" max="9218" width="7.140625" customWidth="1"/>
    <col min="9219" max="9219" width="5.28515625" customWidth="1"/>
    <col min="9220" max="9220" width="12.140625" customWidth="1"/>
    <col min="9221" max="9221" width="8.28515625" bestFit="1" customWidth="1"/>
    <col min="9473" max="9473" width="42.7109375" customWidth="1"/>
    <col min="9474" max="9474" width="7.140625" customWidth="1"/>
    <col min="9475" max="9475" width="5.28515625" customWidth="1"/>
    <col min="9476" max="9476" width="12.140625" customWidth="1"/>
    <col min="9477" max="9477" width="8.28515625" bestFit="1" customWidth="1"/>
    <col min="9729" max="9729" width="42.7109375" customWidth="1"/>
    <col min="9730" max="9730" width="7.140625" customWidth="1"/>
    <col min="9731" max="9731" width="5.28515625" customWidth="1"/>
    <col min="9732" max="9732" width="12.140625" customWidth="1"/>
    <col min="9733" max="9733" width="8.28515625" bestFit="1" customWidth="1"/>
    <col min="9985" max="9985" width="42.7109375" customWidth="1"/>
    <col min="9986" max="9986" width="7.140625" customWidth="1"/>
    <col min="9987" max="9987" width="5.28515625" customWidth="1"/>
    <col min="9988" max="9988" width="12.140625" customWidth="1"/>
    <col min="9989" max="9989" width="8.28515625" bestFit="1" customWidth="1"/>
    <col min="10241" max="10241" width="42.7109375" customWidth="1"/>
    <col min="10242" max="10242" width="7.140625" customWidth="1"/>
    <col min="10243" max="10243" width="5.28515625" customWidth="1"/>
    <col min="10244" max="10244" width="12.140625" customWidth="1"/>
    <col min="10245" max="10245" width="8.28515625" bestFit="1" customWidth="1"/>
    <col min="10497" max="10497" width="42.7109375" customWidth="1"/>
    <col min="10498" max="10498" width="7.140625" customWidth="1"/>
    <col min="10499" max="10499" width="5.28515625" customWidth="1"/>
    <col min="10500" max="10500" width="12.140625" customWidth="1"/>
    <col min="10501" max="10501" width="8.28515625" bestFit="1" customWidth="1"/>
    <col min="10753" max="10753" width="42.7109375" customWidth="1"/>
    <col min="10754" max="10754" width="7.140625" customWidth="1"/>
    <col min="10755" max="10755" width="5.28515625" customWidth="1"/>
    <col min="10756" max="10756" width="12.140625" customWidth="1"/>
    <col min="10757" max="10757" width="8.28515625" bestFit="1" customWidth="1"/>
    <col min="11009" max="11009" width="42.7109375" customWidth="1"/>
    <col min="11010" max="11010" width="7.140625" customWidth="1"/>
    <col min="11011" max="11011" width="5.28515625" customWidth="1"/>
    <col min="11012" max="11012" width="12.140625" customWidth="1"/>
    <col min="11013" max="11013" width="8.28515625" bestFit="1" customWidth="1"/>
    <col min="11265" max="11265" width="42.7109375" customWidth="1"/>
    <col min="11266" max="11266" width="7.140625" customWidth="1"/>
    <col min="11267" max="11267" width="5.28515625" customWidth="1"/>
    <col min="11268" max="11268" width="12.140625" customWidth="1"/>
    <col min="11269" max="11269" width="8.28515625" bestFit="1" customWidth="1"/>
    <col min="11521" max="11521" width="42.7109375" customWidth="1"/>
    <col min="11522" max="11522" width="7.140625" customWidth="1"/>
    <col min="11523" max="11523" width="5.28515625" customWidth="1"/>
    <col min="11524" max="11524" width="12.140625" customWidth="1"/>
    <col min="11525" max="11525" width="8.28515625" bestFit="1" customWidth="1"/>
    <col min="11777" max="11777" width="42.7109375" customWidth="1"/>
    <col min="11778" max="11778" width="7.140625" customWidth="1"/>
    <col min="11779" max="11779" width="5.28515625" customWidth="1"/>
    <col min="11780" max="11780" width="12.140625" customWidth="1"/>
    <col min="11781" max="11781" width="8.28515625" bestFit="1" customWidth="1"/>
    <col min="12033" max="12033" width="42.7109375" customWidth="1"/>
    <col min="12034" max="12034" width="7.140625" customWidth="1"/>
    <col min="12035" max="12035" width="5.28515625" customWidth="1"/>
    <col min="12036" max="12036" width="12.140625" customWidth="1"/>
    <col min="12037" max="12037" width="8.28515625" bestFit="1" customWidth="1"/>
    <col min="12289" max="12289" width="42.7109375" customWidth="1"/>
    <col min="12290" max="12290" width="7.140625" customWidth="1"/>
    <col min="12291" max="12291" width="5.28515625" customWidth="1"/>
    <col min="12292" max="12292" width="12.140625" customWidth="1"/>
    <col min="12293" max="12293" width="8.28515625" bestFit="1" customWidth="1"/>
    <col min="12545" max="12545" width="42.7109375" customWidth="1"/>
    <col min="12546" max="12546" width="7.140625" customWidth="1"/>
    <col min="12547" max="12547" width="5.28515625" customWidth="1"/>
    <col min="12548" max="12548" width="12.140625" customWidth="1"/>
    <col min="12549" max="12549" width="8.28515625" bestFit="1" customWidth="1"/>
    <col min="12801" max="12801" width="42.7109375" customWidth="1"/>
    <col min="12802" max="12802" width="7.140625" customWidth="1"/>
    <col min="12803" max="12803" width="5.28515625" customWidth="1"/>
    <col min="12804" max="12804" width="12.140625" customWidth="1"/>
    <col min="12805" max="12805" width="8.28515625" bestFit="1" customWidth="1"/>
    <col min="13057" max="13057" width="42.7109375" customWidth="1"/>
    <col min="13058" max="13058" width="7.140625" customWidth="1"/>
    <col min="13059" max="13059" width="5.28515625" customWidth="1"/>
    <col min="13060" max="13060" width="12.140625" customWidth="1"/>
    <col min="13061" max="13061" width="8.28515625" bestFit="1" customWidth="1"/>
    <col min="13313" max="13313" width="42.7109375" customWidth="1"/>
    <col min="13314" max="13314" width="7.140625" customWidth="1"/>
    <col min="13315" max="13315" width="5.28515625" customWidth="1"/>
    <col min="13316" max="13316" width="12.140625" customWidth="1"/>
    <col min="13317" max="13317" width="8.28515625" bestFit="1" customWidth="1"/>
    <col min="13569" max="13569" width="42.7109375" customWidth="1"/>
    <col min="13570" max="13570" width="7.140625" customWidth="1"/>
    <col min="13571" max="13571" width="5.28515625" customWidth="1"/>
    <col min="13572" max="13572" width="12.140625" customWidth="1"/>
    <col min="13573" max="13573" width="8.28515625" bestFit="1" customWidth="1"/>
    <col min="13825" max="13825" width="42.7109375" customWidth="1"/>
    <col min="13826" max="13826" width="7.140625" customWidth="1"/>
    <col min="13827" max="13827" width="5.28515625" customWidth="1"/>
    <col min="13828" max="13828" width="12.140625" customWidth="1"/>
    <col min="13829" max="13829" width="8.28515625" bestFit="1" customWidth="1"/>
    <col min="14081" max="14081" width="42.7109375" customWidth="1"/>
    <col min="14082" max="14082" width="7.140625" customWidth="1"/>
    <col min="14083" max="14083" width="5.28515625" customWidth="1"/>
    <col min="14084" max="14084" width="12.140625" customWidth="1"/>
    <col min="14085" max="14085" width="8.28515625" bestFit="1" customWidth="1"/>
    <col min="14337" max="14337" width="42.7109375" customWidth="1"/>
    <col min="14338" max="14338" width="7.140625" customWidth="1"/>
    <col min="14339" max="14339" width="5.28515625" customWidth="1"/>
    <col min="14340" max="14340" width="12.140625" customWidth="1"/>
    <col min="14341" max="14341" width="8.28515625" bestFit="1" customWidth="1"/>
    <col min="14593" max="14593" width="42.7109375" customWidth="1"/>
    <col min="14594" max="14594" width="7.140625" customWidth="1"/>
    <col min="14595" max="14595" width="5.28515625" customWidth="1"/>
    <col min="14596" max="14596" width="12.140625" customWidth="1"/>
    <col min="14597" max="14597" width="8.28515625" bestFit="1" customWidth="1"/>
    <col min="14849" max="14849" width="42.7109375" customWidth="1"/>
    <col min="14850" max="14850" width="7.140625" customWidth="1"/>
    <col min="14851" max="14851" width="5.28515625" customWidth="1"/>
    <col min="14852" max="14852" width="12.140625" customWidth="1"/>
    <col min="14853" max="14853" width="8.28515625" bestFit="1" customWidth="1"/>
    <col min="15105" max="15105" width="42.7109375" customWidth="1"/>
    <col min="15106" max="15106" width="7.140625" customWidth="1"/>
    <col min="15107" max="15107" width="5.28515625" customWidth="1"/>
    <col min="15108" max="15108" width="12.140625" customWidth="1"/>
    <col min="15109" max="15109" width="8.28515625" bestFit="1" customWidth="1"/>
    <col min="15361" max="15361" width="42.7109375" customWidth="1"/>
    <col min="15362" max="15362" width="7.140625" customWidth="1"/>
    <col min="15363" max="15363" width="5.28515625" customWidth="1"/>
    <col min="15364" max="15364" width="12.140625" customWidth="1"/>
    <col min="15365" max="15365" width="8.28515625" bestFit="1" customWidth="1"/>
    <col min="15617" max="15617" width="42.7109375" customWidth="1"/>
    <col min="15618" max="15618" width="7.140625" customWidth="1"/>
    <col min="15619" max="15619" width="5.28515625" customWidth="1"/>
    <col min="15620" max="15620" width="12.140625" customWidth="1"/>
    <col min="15621" max="15621" width="8.28515625" bestFit="1" customWidth="1"/>
    <col min="15873" max="15873" width="42.7109375" customWidth="1"/>
    <col min="15874" max="15874" width="7.140625" customWidth="1"/>
    <col min="15875" max="15875" width="5.28515625" customWidth="1"/>
    <col min="15876" max="15876" width="12.140625" customWidth="1"/>
    <col min="15877" max="15877" width="8.28515625" bestFit="1" customWidth="1"/>
    <col min="16129" max="16129" width="42.7109375" customWidth="1"/>
    <col min="16130" max="16130" width="7.140625" customWidth="1"/>
    <col min="16131" max="16131" width="5.28515625" customWidth="1"/>
    <col min="16132" max="16132" width="12.140625" customWidth="1"/>
    <col min="16133" max="16133" width="8.28515625" bestFit="1" customWidth="1"/>
  </cols>
  <sheetData>
    <row r="1" spans="1:5" ht="16.5" x14ac:dyDescent="0.25">
      <c r="A1" s="1" t="s">
        <v>0</v>
      </c>
      <c r="B1" s="1"/>
      <c r="C1" s="1"/>
      <c r="D1" s="1"/>
      <c r="E1" s="1"/>
    </row>
    <row r="2" spans="1:5" s="3" customFormat="1" ht="12" x14ac:dyDescent="0.2">
      <c r="A2" s="2" t="s">
        <v>41</v>
      </c>
      <c r="B2" s="2"/>
      <c r="C2" s="2"/>
      <c r="D2" s="2"/>
      <c r="E2" s="2"/>
    </row>
    <row r="3" spans="1:5" s="6" customFormat="1" ht="36" x14ac:dyDescent="0.25">
      <c r="A3" s="4" t="s">
        <v>2</v>
      </c>
      <c r="B3" s="4" t="s">
        <v>3</v>
      </c>
      <c r="C3" s="5" t="s">
        <v>4</v>
      </c>
      <c r="D3" s="4" t="s">
        <v>5</v>
      </c>
      <c r="E3" s="4" t="s">
        <v>6</v>
      </c>
    </row>
    <row r="4" spans="1:5" x14ac:dyDescent="0.25">
      <c r="A4" s="10" t="s">
        <v>7</v>
      </c>
      <c r="B4" s="11">
        <v>30</v>
      </c>
      <c r="C4" s="12">
        <v>14.3</v>
      </c>
      <c r="D4" s="11">
        <v>2</v>
      </c>
      <c r="E4" s="10">
        <f>D4*C4</f>
        <v>28.6</v>
      </c>
    </row>
    <row r="5" spans="1:5" x14ac:dyDescent="0.25">
      <c r="A5" s="10" t="s">
        <v>8</v>
      </c>
      <c r="B5" s="11">
        <v>200</v>
      </c>
      <c r="C5" s="12">
        <v>3.1</v>
      </c>
      <c r="D5" s="11">
        <v>2</v>
      </c>
      <c r="E5" s="10">
        <f t="shared" ref="E5:E29" si="0">D5*C5</f>
        <v>6.2</v>
      </c>
    </row>
    <row r="6" spans="1:5" x14ac:dyDescent="0.25">
      <c r="A6" s="10" t="s">
        <v>9</v>
      </c>
      <c r="B6" s="11">
        <v>50</v>
      </c>
      <c r="C6" s="12">
        <v>3.65</v>
      </c>
      <c r="D6" s="11">
        <v>8</v>
      </c>
      <c r="E6" s="10">
        <f t="shared" si="0"/>
        <v>29.2</v>
      </c>
    </row>
    <row r="7" spans="1:5" x14ac:dyDescent="0.25">
      <c r="A7" s="10" t="s">
        <v>10</v>
      </c>
      <c r="B7" s="11">
        <v>100</v>
      </c>
      <c r="C7" s="12">
        <v>2</v>
      </c>
      <c r="D7" s="11">
        <v>10</v>
      </c>
      <c r="E7" s="10">
        <f t="shared" si="0"/>
        <v>20</v>
      </c>
    </row>
    <row r="8" spans="1:5" x14ac:dyDescent="0.25">
      <c r="A8" s="10" t="s">
        <v>36</v>
      </c>
      <c r="B8" s="11">
        <v>250</v>
      </c>
      <c r="C8" s="12">
        <v>6.5</v>
      </c>
      <c r="D8" s="11">
        <v>7</v>
      </c>
      <c r="E8" s="10">
        <f t="shared" si="0"/>
        <v>45.5</v>
      </c>
    </row>
    <row r="9" spans="1:5" x14ac:dyDescent="0.25">
      <c r="A9" s="10" t="s">
        <v>37</v>
      </c>
      <c r="B9" s="11">
        <v>125</v>
      </c>
      <c r="C9" s="12">
        <v>4.25</v>
      </c>
      <c r="D9" s="11">
        <v>8</v>
      </c>
      <c r="E9" s="10">
        <f t="shared" si="0"/>
        <v>34</v>
      </c>
    </row>
    <row r="10" spans="1:5" x14ac:dyDescent="0.25">
      <c r="A10" s="10" t="s">
        <v>12</v>
      </c>
      <c r="B10" s="11">
        <v>75</v>
      </c>
      <c r="C10" s="12">
        <v>3.2</v>
      </c>
      <c r="D10" s="11">
        <v>7</v>
      </c>
      <c r="E10" s="10">
        <f t="shared" si="0"/>
        <v>22.400000000000002</v>
      </c>
    </row>
    <row r="11" spans="1:5" x14ac:dyDescent="0.25">
      <c r="A11" s="10" t="s">
        <v>13</v>
      </c>
      <c r="B11" s="11">
        <v>50</v>
      </c>
      <c r="C11" s="12">
        <v>4.2</v>
      </c>
      <c r="D11" s="11">
        <v>2</v>
      </c>
      <c r="E11" s="10">
        <f t="shared" si="0"/>
        <v>8.4</v>
      </c>
    </row>
    <row r="12" spans="1:5" x14ac:dyDescent="0.25">
      <c r="A12" s="10" t="s">
        <v>14</v>
      </c>
      <c r="B12" s="11">
        <v>150</v>
      </c>
      <c r="C12" s="12">
        <v>3.9</v>
      </c>
      <c r="D12" s="11">
        <v>8</v>
      </c>
      <c r="E12" s="10">
        <f t="shared" si="0"/>
        <v>31.2</v>
      </c>
    </row>
    <row r="13" spans="1:5" x14ac:dyDescent="0.25">
      <c r="A13" s="10" t="s">
        <v>15</v>
      </c>
      <c r="B13" s="11">
        <v>250</v>
      </c>
      <c r="C13" s="12">
        <v>6.95</v>
      </c>
      <c r="D13" s="11">
        <v>4</v>
      </c>
      <c r="E13" s="10">
        <f t="shared" si="0"/>
        <v>27.8</v>
      </c>
    </row>
    <row r="14" spans="1:5" x14ac:dyDescent="0.25">
      <c r="A14" s="10" t="s">
        <v>16</v>
      </c>
      <c r="B14" s="11">
        <v>50</v>
      </c>
      <c r="C14" s="12">
        <v>4.2</v>
      </c>
      <c r="D14" s="11">
        <v>2</v>
      </c>
      <c r="E14" s="10">
        <f t="shared" si="0"/>
        <v>8.4</v>
      </c>
    </row>
    <row r="15" spans="1:5" x14ac:dyDescent="0.25">
      <c r="A15" s="10" t="s">
        <v>19</v>
      </c>
      <c r="B15" s="11">
        <v>50</v>
      </c>
      <c r="C15" s="12">
        <v>4</v>
      </c>
      <c r="D15" s="11">
        <v>5</v>
      </c>
      <c r="E15" s="10">
        <f t="shared" si="0"/>
        <v>20</v>
      </c>
    </row>
    <row r="16" spans="1:5" x14ac:dyDescent="0.25">
      <c r="A16" s="10" t="s">
        <v>20</v>
      </c>
      <c r="B16" s="11">
        <v>150</v>
      </c>
      <c r="C16" s="12">
        <v>4.4000000000000004</v>
      </c>
      <c r="D16" s="11">
        <v>10</v>
      </c>
      <c r="E16" s="10">
        <f t="shared" si="0"/>
        <v>44</v>
      </c>
    </row>
    <row r="17" spans="1:5" x14ac:dyDescent="0.25">
      <c r="A17" s="10" t="s">
        <v>21</v>
      </c>
      <c r="B17" s="11">
        <v>200</v>
      </c>
      <c r="C17" s="12">
        <v>4.2</v>
      </c>
      <c r="D17" s="11">
        <v>9</v>
      </c>
      <c r="E17" s="10">
        <f t="shared" si="0"/>
        <v>37.800000000000004</v>
      </c>
    </row>
    <row r="18" spans="1:5" x14ac:dyDescent="0.25">
      <c r="A18" s="10" t="s">
        <v>22</v>
      </c>
      <c r="B18" s="11">
        <v>250</v>
      </c>
      <c r="C18" s="12">
        <v>2.9</v>
      </c>
      <c r="D18" s="11">
        <v>15</v>
      </c>
      <c r="E18" s="10">
        <f t="shared" si="0"/>
        <v>43.5</v>
      </c>
    </row>
    <row r="19" spans="1:5" x14ac:dyDescent="0.25">
      <c r="A19" s="10" t="s">
        <v>23</v>
      </c>
      <c r="B19" s="11">
        <v>200</v>
      </c>
      <c r="C19" s="12">
        <v>4.7</v>
      </c>
      <c r="D19" s="11">
        <v>8</v>
      </c>
      <c r="E19" s="10">
        <f t="shared" si="0"/>
        <v>37.6</v>
      </c>
    </row>
    <row r="20" spans="1:5" x14ac:dyDescent="0.25">
      <c r="A20" s="10" t="s">
        <v>24</v>
      </c>
      <c r="B20" s="11">
        <v>250</v>
      </c>
      <c r="C20" s="12">
        <v>4.8</v>
      </c>
      <c r="D20" s="11">
        <v>6</v>
      </c>
      <c r="E20" s="10">
        <f t="shared" si="0"/>
        <v>28.799999999999997</v>
      </c>
    </row>
    <row r="21" spans="1:5" x14ac:dyDescent="0.25">
      <c r="A21" s="10" t="s">
        <v>25</v>
      </c>
      <c r="B21" s="11">
        <v>50</v>
      </c>
      <c r="C21" s="13">
        <v>3.65</v>
      </c>
      <c r="D21" s="11">
        <v>2</v>
      </c>
      <c r="E21" s="10">
        <f t="shared" si="0"/>
        <v>7.3</v>
      </c>
    </row>
    <row r="22" spans="1:5" x14ac:dyDescent="0.25">
      <c r="A22" s="10" t="s">
        <v>42</v>
      </c>
      <c r="B22" s="11">
        <v>200</v>
      </c>
      <c r="C22" s="13">
        <v>6.95</v>
      </c>
      <c r="D22" s="11">
        <v>4</v>
      </c>
      <c r="E22" s="10">
        <f t="shared" si="0"/>
        <v>27.8</v>
      </c>
    </row>
    <row r="23" spans="1:5" x14ac:dyDescent="0.25">
      <c r="A23" s="10" t="s">
        <v>27</v>
      </c>
      <c r="B23" s="11">
        <v>150</v>
      </c>
      <c r="C23" s="13">
        <v>4.4000000000000004</v>
      </c>
      <c r="D23" s="11">
        <v>5</v>
      </c>
      <c r="E23" s="10">
        <f t="shared" si="0"/>
        <v>22</v>
      </c>
    </row>
    <row r="24" spans="1:5" x14ac:dyDescent="0.25">
      <c r="A24" s="10" t="s">
        <v>20</v>
      </c>
      <c r="B24" s="11">
        <v>150</v>
      </c>
      <c r="C24" s="13">
        <v>4.4000000000000004</v>
      </c>
      <c r="D24" s="11">
        <v>10</v>
      </c>
      <c r="E24" s="10">
        <f t="shared" si="0"/>
        <v>44</v>
      </c>
    </row>
    <row r="25" spans="1:5" x14ac:dyDescent="0.25">
      <c r="A25" s="10" t="s">
        <v>43</v>
      </c>
      <c r="B25" s="11">
        <v>200</v>
      </c>
      <c r="C25" s="13">
        <v>6.5</v>
      </c>
      <c r="D25" s="11">
        <v>6</v>
      </c>
      <c r="E25" s="10">
        <f t="shared" si="0"/>
        <v>39</v>
      </c>
    </row>
    <row r="26" spans="1:5" x14ac:dyDescent="0.25">
      <c r="A26" s="10" t="s">
        <v>40</v>
      </c>
      <c r="B26" s="11">
        <v>250</v>
      </c>
      <c r="C26" s="13">
        <v>3.2</v>
      </c>
      <c r="D26" s="11">
        <v>4</v>
      </c>
      <c r="E26" s="10">
        <f t="shared" si="0"/>
        <v>12.8</v>
      </c>
    </row>
    <row r="27" spans="1:5" x14ac:dyDescent="0.25">
      <c r="A27" s="10" t="s">
        <v>33</v>
      </c>
      <c r="B27" s="11">
        <v>400</v>
      </c>
      <c r="C27" s="13">
        <v>4.3</v>
      </c>
      <c r="D27" s="11">
        <v>2</v>
      </c>
      <c r="E27" s="10">
        <f t="shared" si="0"/>
        <v>8.6</v>
      </c>
    </row>
    <row r="28" spans="1:5" x14ac:dyDescent="0.25">
      <c r="A28" s="10" t="s">
        <v>44</v>
      </c>
      <c r="B28" s="11">
        <v>200</v>
      </c>
      <c r="C28" s="13">
        <v>6.5</v>
      </c>
      <c r="D28" s="11">
        <v>2</v>
      </c>
      <c r="E28" s="10">
        <f t="shared" si="0"/>
        <v>13</v>
      </c>
    </row>
    <row r="29" spans="1:5" x14ac:dyDescent="0.25">
      <c r="A29" s="10" t="s">
        <v>34</v>
      </c>
      <c r="B29" s="11">
        <v>300</v>
      </c>
      <c r="C29" s="13">
        <v>6.95</v>
      </c>
      <c r="D29" s="11">
        <v>2</v>
      </c>
      <c r="E29" s="10">
        <f t="shared" si="0"/>
        <v>13.9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582A-C015-4D12-BFDA-0F278765F129}">
  <dimension ref="A1:C119"/>
  <sheetViews>
    <sheetView workbookViewId="0">
      <selection activeCell="C20" sqref="C20"/>
    </sheetView>
  </sheetViews>
  <sheetFormatPr defaultRowHeight="15" outlineLevelRow="1" x14ac:dyDescent="0.25"/>
  <cols>
    <col min="1" max="1" width="45.28515625" customWidth="1"/>
    <col min="2" max="2" width="17.140625" customWidth="1"/>
    <col min="3" max="3" width="15.42578125" customWidth="1"/>
    <col min="257" max="257" width="45.28515625" customWidth="1"/>
    <col min="258" max="258" width="17.140625" customWidth="1"/>
    <col min="259" max="259" width="15.42578125" customWidth="1"/>
    <col min="513" max="513" width="45.28515625" customWidth="1"/>
    <col min="514" max="514" width="17.140625" customWidth="1"/>
    <col min="515" max="515" width="15.42578125" customWidth="1"/>
    <col min="769" max="769" width="45.28515625" customWidth="1"/>
    <col min="770" max="770" width="17.140625" customWidth="1"/>
    <col min="771" max="771" width="15.42578125" customWidth="1"/>
    <col min="1025" max="1025" width="45.28515625" customWidth="1"/>
    <col min="1026" max="1026" width="17.140625" customWidth="1"/>
    <col min="1027" max="1027" width="15.42578125" customWidth="1"/>
    <col min="1281" max="1281" width="45.28515625" customWidth="1"/>
    <col min="1282" max="1282" width="17.140625" customWidth="1"/>
    <col min="1283" max="1283" width="15.42578125" customWidth="1"/>
    <col min="1537" max="1537" width="45.28515625" customWidth="1"/>
    <col min="1538" max="1538" width="17.140625" customWidth="1"/>
    <col min="1539" max="1539" width="15.42578125" customWidth="1"/>
    <col min="1793" max="1793" width="45.28515625" customWidth="1"/>
    <col min="1794" max="1794" width="17.140625" customWidth="1"/>
    <col min="1795" max="1795" width="15.42578125" customWidth="1"/>
    <col min="2049" max="2049" width="45.28515625" customWidth="1"/>
    <col min="2050" max="2050" width="17.140625" customWidth="1"/>
    <col min="2051" max="2051" width="15.42578125" customWidth="1"/>
    <col min="2305" max="2305" width="45.28515625" customWidth="1"/>
    <col min="2306" max="2306" width="17.140625" customWidth="1"/>
    <col min="2307" max="2307" width="15.42578125" customWidth="1"/>
    <col min="2561" max="2561" width="45.28515625" customWidth="1"/>
    <col min="2562" max="2562" width="17.140625" customWidth="1"/>
    <col min="2563" max="2563" width="15.42578125" customWidth="1"/>
    <col min="2817" max="2817" width="45.28515625" customWidth="1"/>
    <col min="2818" max="2818" width="17.140625" customWidth="1"/>
    <col min="2819" max="2819" width="15.42578125" customWidth="1"/>
    <col min="3073" max="3073" width="45.28515625" customWidth="1"/>
    <col min="3074" max="3074" width="17.140625" customWidth="1"/>
    <col min="3075" max="3075" width="15.42578125" customWidth="1"/>
    <col min="3329" max="3329" width="45.28515625" customWidth="1"/>
    <col min="3330" max="3330" width="17.140625" customWidth="1"/>
    <col min="3331" max="3331" width="15.42578125" customWidth="1"/>
    <col min="3585" max="3585" width="45.28515625" customWidth="1"/>
    <col min="3586" max="3586" width="17.140625" customWidth="1"/>
    <col min="3587" max="3587" width="15.42578125" customWidth="1"/>
    <col min="3841" max="3841" width="45.28515625" customWidth="1"/>
    <col min="3842" max="3842" width="17.140625" customWidth="1"/>
    <col min="3843" max="3843" width="15.42578125" customWidth="1"/>
    <col min="4097" max="4097" width="45.28515625" customWidth="1"/>
    <col min="4098" max="4098" width="17.140625" customWidth="1"/>
    <col min="4099" max="4099" width="15.42578125" customWidth="1"/>
    <col min="4353" max="4353" width="45.28515625" customWidth="1"/>
    <col min="4354" max="4354" width="17.140625" customWidth="1"/>
    <col min="4355" max="4355" width="15.42578125" customWidth="1"/>
    <col min="4609" max="4609" width="45.28515625" customWidth="1"/>
    <col min="4610" max="4610" width="17.140625" customWidth="1"/>
    <col min="4611" max="4611" width="15.42578125" customWidth="1"/>
    <col min="4865" max="4865" width="45.28515625" customWidth="1"/>
    <col min="4866" max="4866" width="17.140625" customWidth="1"/>
    <col min="4867" max="4867" width="15.42578125" customWidth="1"/>
    <col min="5121" max="5121" width="45.28515625" customWidth="1"/>
    <col min="5122" max="5122" width="17.140625" customWidth="1"/>
    <col min="5123" max="5123" width="15.42578125" customWidth="1"/>
    <col min="5377" max="5377" width="45.28515625" customWidth="1"/>
    <col min="5378" max="5378" width="17.140625" customWidth="1"/>
    <col min="5379" max="5379" width="15.42578125" customWidth="1"/>
    <col min="5633" max="5633" width="45.28515625" customWidth="1"/>
    <col min="5634" max="5634" width="17.140625" customWidth="1"/>
    <col min="5635" max="5635" width="15.42578125" customWidth="1"/>
    <col min="5889" max="5889" width="45.28515625" customWidth="1"/>
    <col min="5890" max="5890" width="17.140625" customWidth="1"/>
    <col min="5891" max="5891" width="15.42578125" customWidth="1"/>
    <col min="6145" max="6145" width="45.28515625" customWidth="1"/>
    <col min="6146" max="6146" width="17.140625" customWidth="1"/>
    <col min="6147" max="6147" width="15.42578125" customWidth="1"/>
    <col min="6401" max="6401" width="45.28515625" customWidth="1"/>
    <col min="6402" max="6402" width="17.140625" customWidth="1"/>
    <col min="6403" max="6403" width="15.42578125" customWidth="1"/>
    <col min="6657" max="6657" width="45.28515625" customWidth="1"/>
    <col min="6658" max="6658" width="17.140625" customWidth="1"/>
    <col min="6659" max="6659" width="15.42578125" customWidth="1"/>
    <col min="6913" max="6913" width="45.28515625" customWidth="1"/>
    <col min="6914" max="6914" width="17.140625" customWidth="1"/>
    <col min="6915" max="6915" width="15.42578125" customWidth="1"/>
    <col min="7169" max="7169" width="45.28515625" customWidth="1"/>
    <col min="7170" max="7170" width="17.140625" customWidth="1"/>
    <col min="7171" max="7171" width="15.42578125" customWidth="1"/>
    <col min="7425" max="7425" width="45.28515625" customWidth="1"/>
    <col min="7426" max="7426" width="17.140625" customWidth="1"/>
    <col min="7427" max="7427" width="15.42578125" customWidth="1"/>
    <col min="7681" max="7681" width="45.28515625" customWidth="1"/>
    <col min="7682" max="7682" width="17.140625" customWidth="1"/>
    <col min="7683" max="7683" width="15.42578125" customWidth="1"/>
    <col min="7937" max="7937" width="45.28515625" customWidth="1"/>
    <col min="7938" max="7938" width="17.140625" customWidth="1"/>
    <col min="7939" max="7939" width="15.42578125" customWidth="1"/>
    <col min="8193" max="8193" width="45.28515625" customWidth="1"/>
    <col min="8194" max="8194" width="17.140625" customWidth="1"/>
    <col min="8195" max="8195" width="15.42578125" customWidth="1"/>
    <col min="8449" max="8449" width="45.28515625" customWidth="1"/>
    <col min="8450" max="8450" width="17.140625" customWidth="1"/>
    <col min="8451" max="8451" width="15.42578125" customWidth="1"/>
    <col min="8705" max="8705" width="45.28515625" customWidth="1"/>
    <col min="8706" max="8706" width="17.140625" customWidth="1"/>
    <col min="8707" max="8707" width="15.42578125" customWidth="1"/>
    <col min="8961" max="8961" width="45.28515625" customWidth="1"/>
    <col min="8962" max="8962" width="17.140625" customWidth="1"/>
    <col min="8963" max="8963" width="15.42578125" customWidth="1"/>
    <col min="9217" max="9217" width="45.28515625" customWidth="1"/>
    <col min="9218" max="9218" width="17.140625" customWidth="1"/>
    <col min="9219" max="9219" width="15.42578125" customWidth="1"/>
    <col min="9473" max="9473" width="45.28515625" customWidth="1"/>
    <col min="9474" max="9474" width="17.140625" customWidth="1"/>
    <col min="9475" max="9475" width="15.42578125" customWidth="1"/>
    <col min="9729" max="9729" width="45.28515625" customWidth="1"/>
    <col min="9730" max="9730" width="17.140625" customWidth="1"/>
    <col min="9731" max="9731" width="15.42578125" customWidth="1"/>
    <col min="9985" max="9985" width="45.28515625" customWidth="1"/>
    <col min="9986" max="9986" width="17.140625" customWidth="1"/>
    <col min="9987" max="9987" width="15.42578125" customWidth="1"/>
    <col min="10241" max="10241" width="45.28515625" customWidth="1"/>
    <col min="10242" max="10242" width="17.140625" customWidth="1"/>
    <col min="10243" max="10243" width="15.42578125" customWidth="1"/>
    <col min="10497" max="10497" width="45.28515625" customWidth="1"/>
    <col min="10498" max="10498" width="17.140625" customWidth="1"/>
    <col min="10499" max="10499" width="15.42578125" customWidth="1"/>
    <col min="10753" max="10753" width="45.28515625" customWidth="1"/>
    <col min="10754" max="10754" width="17.140625" customWidth="1"/>
    <col min="10755" max="10755" width="15.42578125" customWidth="1"/>
    <col min="11009" max="11009" width="45.28515625" customWidth="1"/>
    <col min="11010" max="11010" width="17.140625" customWidth="1"/>
    <col min="11011" max="11011" width="15.42578125" customWidth="1"/>
    <col min="11265" max="11265" width="45.28515625" customWidth="1"/>
    <col min="11266" max="11266" width="17.140625" customWidth="1"/>
    <col min="11267" max="11267" width="15.42578125" customWidth="1"/>
    <col min="11521" max="11521" width="45.28515625" customWidth="1"/>
    <col min="11522" max="11522" width="17.140625" customWidth="1"/>
    <col min="11523" max="11523" width="15.42578125" customWidth="1"/>
    <col min="11777" max="11777" width="45.28515625" customWidth="1"/>
    <col min="11778" max="11778" width="17.140625" customWidth="1"/>
    <col min="11779" max="11779" width="15.42578125" customWidth="1"/>
    <col min="12033" max="12033" width="45.28515625" customWidth="1"/>
    <col min="12034" max="12034" width="17.140625" customWidth="1"/>
    <col min="12035" max="12035" width="15.42578125" customWidth="1"/>
    <col min="12289" max="12289" width="45.28515625" customWidth="1"/>
    <col min="12290" max="12290" width="17.140625" customWidth="1"/>
    <col min="12291" max="12291" width="15.42578125" customWidth="1"/>
    <col min="12545" max="12545" width="45.28515625" customWidth="1"/>
    <col min="12546" max="12546" width="17.140625" customWidth="1"/>
    <col min="12547" max="12547" width="15.42578125" customWidth="1"/>
    <col min="12801" max="12801" width="45.28515625" customWidth="1"/>
    <col min="12802" max="12802" width="17.140625" customWidth="1"/>
    <col min="12803" max="12803" width="15.42578125" customWidth="1"/>
    <col min="13057" max="13057" width="45.28515625" customWidth="1"/>
    <col min="13058" max="13058" width="17.140625" customWidth="1"/>
    <col min="13059" max="13059" width="15.42578125" customWidth="1"/>
    <col min="13313" max="13313" width="45.28515625" customWidth="1"/>
    <col min="13314" max="13314" width="17.140625" customWidth="1"/>
    <col min="13315" max="13315" width="15.42578125" customWidth="1"/>
    <col min="13569" max="13569" width="45.28515625" customWidth="1"/>
    <col min="13570" max="13570" width="17.140625" customWidth="1"/>
    <col min="13571" max="13571" width="15.42578125" customWidth="1"/>
    <col min="13825" max="13825" width="45.28515625" customWidth="1"/>
    <col min="13826" max="13826" width="17.140625" customWidth="1"/>
    <col min="13827" max="13827" width="15.42578125" customWidth="1"/>
    <col min="14081" max="14081" width="45.28515625" customWidth="1"/>
    <col min="14082" max="14082" width="17.140625" customWidth="1"/>
    <col min="14083" max="14083" width="15.42578125" customWidth="1"/>
    <col min="14337" max="14337" width="45.28515625" customWidth="1"/>
    <col min="14338" max="14338" width="17.140625" customWidth="1"/>
    <col min="14339" max="14339" width="15.42578125" customWidth="1"/>
    <col min="14593" max="14593" width="45.28515625" customWidth="1"/>
    <col min="14594" max="14594" width="17.140625" customWidth="1"/>
    <col min="14595" max="14595" width="15.42578125" customWidth="1"/>
    <col min="14849" max="14849" width="45.28515625" customWidth="1"/>
    <col min="14850" max="14850" width="17.140625" customWidth="1"/>
    <col min="14851" max="14851" width="15.42578125" customWidth="1"/>
    <col min="15105" max="15105" width="45.28515625" customWidth="1"/>
    <col min="15106" max="15106" width="17.140625" customWidth="1"/>
    <col min="15107" max="15107" width="15.42578125" customWidth="1"/>
    <col min="15361" max="15361" width="45.28515625" customWidth="1"/>
    <col min="15362" max="15362" width="17.140625" customWidth="1"/>
    <col min="15363" max="15363" width="15.42578125" customWidth="1"/>
    <col min="15617" max="15617" width="45.28515625" customWidth="1"/>
    <col min="15618" max="15618" width="17.140625" customWidth="1"/>
    <col min="15619" max="15619" width="15.42578125" customWidth="1"/>
    <col min="15873" max="15873" width="45.28515625" customWidth="1"/>
    <col min="15874" max="15874" width="17.140625" customWidth="1"/>
    <col min="15875" max="15875" width="15.42578125" customWidth="1"/>
    <col min="16129" max="16129" width="45.28515625" customWidth="1"/>
    <col min="16130" max="16130" width="17.140625" customWidth="1"/>
    <col min="16131" max="16131" width="15.42578125" customWidth="1"/>
  </cols>
  <sheetData>
    <row r="1" spans="1:3" ht="24" x14ac:dyDescent="0.25">
      <c r="A1" s="4" t="s">
        <v>2</v>
      </c>
      <c r="B1" s="4" t="s">
        <v>5</v>
      </c>
      <c r="C1" s="4" t="s">
        <v>6</v>
      </c>
    </row>
    <row r="2" spans="1:3" x14ac:dyDescent="0.25">
      <c r="B2" t="s">
        <v>5</v>
      </c>
      <c r="C2" t="s">
        <v>6</v>
      </c>
    </row>
    <row r="3" spans="1:3" hidden="1" outlineLevel="1" x14ac:dyDescent="0.25">
      <c r="B3">
        <f>[1]Иванова!$D$4</f>
        <v>1</v>
      </c>
      <c r="C3">
        <f>[1]Иванова!$E$4</f>
        <v>14.3</v>
      </c>
    </row>
    <row r="4" spans="1:3" hidden="1" outlineLevel="1" collapsed="1" x14ac:dyDescent="0.25">
      <c r="B4">
        <f>[1]Сидорова!$D$4</f>
        <v>2</v>
      </c>
      <c r="C4">
        <f>[1]Сидорова!$E$4</f>
        <v>28.6</v>
      </c>
    </row>
    <row r="5" spans="1:3" collapsed="1" x14ac:dyDescent="0.25">
      <c r="A5" t="s">
        <v>7</v>
      </c>
      <c r="B5">
        <f>SUM(B3:B4)</f>
        <v>3</v>
      </c>
      <c r="C5">
        <f>SUM(C3:C4)</f>
        <v>42.900000000000006</v>
      </c>
    </row>
    <row r="6" spans="1:3" hidden="1" outlineLevel="1" x14ac:dyDescent="0.25">
      <c r="B6">
        <f>[1]Иванова!$D$5</f>
        <v>5</v>
      </c>
      <c r="C6">
        <f>[1]Иванова!$E$5</f>
        <v>15.5</v>
      </c>
    </row>
    <row r="7" spans="1:3" hidden="1" outlineLevel="1" collapsed="1" x14ac:dyDescent="0.25">
      <c r="B7">
        <f>[1]Петрова!$D$4</f>
        <v>3</v>
      </c>
      <c r="C7">
        <f>[1]Петрова!$E$4</f>
        <v>9.3000000000000007</v>
      </c>
    </row>
    <row r="8" spans="1:3" hidden="1" outlineLevel="1" collapsed="1" x14ac:dyDescent="0.25">
      <c r="B8">
        <f>[1]Сидорова!$D$5</f>
        <v>2</v>
      </c>
      <c r="C8">
        <f>[1]Сидорова!$E$5</f>
        <v>6.2</v>
      </c>
    </row>
    <row r="9" spans="1:3" collapsed="1" x14ac:dyDescent="0.25">
      <c r="A9" t="s">
        <v>8</v>
      </c>
      <c r="B9">
        <f>SUM(B6:B8)</f>
        <v>10</v>
      </c>
      <c r="C9">
        <f>SUM(C6:C8)</f>
        <v>31</v>
      </c>
    </row>
    <row r="10" spans="1:3" hidden="1" outlineLevel="1" x14ac:dyDescent="0.25">
      <c r="B10">
        <f>[1]Иванова!$D$6</f>
        <v>4</v>
      </c>
      <c r="C10">
        <f>[1]Иванова!$E$6</f>
        <v>14.6</v>
      </c>
    </row>
    <row r="11" spans="1:3" hidden="1" outlineLevel="1" collapsed="1" x14ac:dyDescent="0.25">
      <c r="B11">
        <f>[1]Петрова!$D$5</f>
        <v>2</v>
      </c>
      <c r="C11">
        <f>[1]Петрова!$E$5</f>
        <v>7.3</v>
      </c>
    </row>
    <row r="12" spans="1:3" hidden="1" outlineLevel="1" collapsed="1" x14ac:dyDescent="0.25">
      <c r="B12">
        <f>[1]Сидорова!$D$6</f>
        <v>8</v>
      </c>
      <c r="C12">
        <f>[1]Сидорова!$E$6</f>
        <v>29.2</v>
      </c>
    </row>
    <row r="13" spans="1:3" collapsed="1" x14ac:dyDescent="0.25">
      <c r="A13" t="s">
        <v>9</v>
      </c>
      <c r="B13">
        <f>SUM(B10:B12)</f>
        <v>14</v>
      </c>
      <c r="C13">
        <f>SUM(C10:C12)</f>
        <v>51.099999999999994</v>
      </c>
    </row>
    <row r="14" spans="1:3" hidden="1" outlineLevel="1" x14ac:dyDescent="0.25">
      <c r="B14">
        <f>[1]Иванова!$D$7</f>
        <v>12</v>
      </c>
      <c r="C14">
        <f>[1]Иванова!$E$7</f>
        <v>24</v>
      </c>
    </row>
    <row r="15" spans="1:3" hidden="1" outlineLevel="1" collapsed="1" x14ac:dyDescent="0.25">
      <c r="B15">
        <f>[1]Петрова!$D$6</f>
        <v>14</v>
      </c>
      <c r="C15">
        <f>[1]Петрова!$E$6</f>
        <v>28</v>
      </c>
    </row>
    <row r="16" spans="1:3" hidden="1" outlineLevel="1" collapsed="1" x14ac:dyDescent="0.25">
      <c r="B16">
        <f>[1]Сидорова!$D$7</f>
        <v>10</v>
      </c>
      <c r="C16">
        <f>[1]Сидорова!$E$7</f>
        <v>20</v>
      </c>
    </row>
    <row r="17" spans="1:3" collapsed="1" x14ac:dyDescent="0.25">
      <c r="A17" t="s">
        <v>10</v>
      </c>
      <c r="B17">
        <f>SUM(B14:B16)</f>
        <v>36</v>
      </c>
      <c r="C17">
        <f>SUM(C14:C16)</f>
        <v>72</v>
      </c>
    </row>
    <row r="18" spans="1:3" hidden="1" outlineLevel="1" x14ac:dyDescent="0.25">
      <c r="B18">
        <f>[1]Иванова!$D$8</f>
        <v>5</v>
      </c>
      <c r="C18">
        <f>[1]Иванова!$E$8</f>
        <v>31.5</v>
      </c>
    </row>
    <row r="19" spans="1:3" hidden="1" outlineLevel="1" collapsed="1" x14ac:dyDescent="0.25">
      <c r="B19">
        <f>[1]Петрова!$D$7</f>
        <v>6</v>
      </c>
      <c r="C19">
        <f>[1]Петрова!$E$7</f>
        <v>37.799999999999997</v>
      </c>
    </row>
    <row r="20" spans="1:3" collapsed="1" x14ac:dyDescent="0.25">
      <c r="A20" t="s">
        <v>11</v>
      </c>
      <c r="B20">
        <f>SUM(B18:B19)</f>
        <v>11</v>
      </c>
      <c r="C20">
        <f>SUM(C18:C19)</f>
        <v>69.3</v>
      </c>
    </row>
    <row r="21" spans="1:3" hidden="1" outlineLevel="1" x14ac:dyDescent="0.25">
      <c r="B21">
        <f>[1]Петрова!$D$8</f>
        <v>5</v>
      </c>
      <c r="C21">
        <f>[1]Петрова!$E$8</f>
        <v>32.5</v>
      </c>
    </row>
    <row r="22" spans="1:3" hidden="1" outlineLevel="1" collapsed="1" x14ac:dyDescent="0.25">
      <c r="B22">
        <f>[1]Сидорова!$D$8</f>
        <v>7</v>
      </c>
      <c r="C22">
        <f>[1]Сидорова!$E$8</f>
        <v>45.5</v>
      </c>
    </row>
    <row r="23" spans="1:3" collapsed="1" x14ac:dyDescent="0.25">
      <c r="A23" t="s">
        <v>36</v>
      </c>
      <c r="B23">
        <f>SUM(B21:B22)</f>
        <v>12</v>
      </c>
      <c r="C23">
        <f>SUM(C21:C22)</f>
        <v>78</v>
      </c>
    </row>
    <row r="24" spans="1:3" hidden="1" outlineLevel="1" x14ac:dyDescent="0.25">
      <c r="B24">
        <f>[1]Петрова!$D$9</f>
        <v>2</v>
      </c>
      <c r="C24">
        <f>[1]Петрова!$E$9</f>
        <v>8.5</v>
      </c>
    </row>
    <row r="25" spans="1:3" hidden="1" outlineLevel="1" collapsed="1" x14ac:dyDescent="0.25">
      <c r="B25">
        <f>[1]Сидорова!$D$9</f>
        <v>8</v>
      </c>
      <c r="C25">
        <f>[1]Сидорова!$E$9</f>
        <v>34</v>
      </c>
    </row>
    <row r="26" spans="1:3" collapsed="1" x14ac:dyDescent="0.25">
      <c r="A26" t="s">
        <v>37</v>
      </c>
      <c r="B26">
        <f>SUM(B24:B25)</f>
        <v>10</v>
      </c>
      <c r="C26">
        <f>SUM(C24:C25)</f>
        <v>42.5</v>
      </c>
    </row>
    <row r="27" spans="1:3" hidden="1" outlineLevel="1" x14ac:dyDescent="0.25">
      <c r="B27">
        <f>[1]Иванова!$D$9</f>
        <v>1</v>
      </c>
      <c r="C27">
        <f>[1]Иванова!$E$9</f>
        <v>3.2</v>
      </c>
    </row>
    <row r="28" spans="1:3" hidden="1" outlineLevel="1" collapsed="1" x14ac:dyDescent="0.25">
      <c r="B28">
        <f>[1]Петрова!$D$10</f>
        <v>4</v>
      </c>
      <c r="C28">
        <f>[1]Петрова!$E$10</f>
        <v>12.8</v>
      </c>
    </row>
    <row r="29" spans="1:3" hidden="1" outlineLevel="1" collapsed="1" x14ac:dyDescent="0.25">
      <c r="B29">
        <f>[1]Сидорова!$D$10</f>
        <v>7</v>
      </c>
      <c r="C29">
        <f>[1]Сидорова!$E$10</f>
        <v>22.400000000000002</v>
      </c>
    </row>
    <row r="30" spans="1:3" collapsed="1" x14ac:dyDescent="0.25">
      <c r="A30" t="s">
        <v>12</v>
      </c>
      <c r="B30">
        <f>SUM(B27:B29)</f>
        <v>12</v>
      </c>
      <c r="C30">
        <f>SUM(C27:C29)</f>
        <v>38.400000000000006</v>
      </c>
    </row>
    <row r="31" spans="1:3" hidden="1" outlineLevel="1" x14ac:dyDescent="0.25">
      <c r="B31">
        <f>[1]Иванова!$D$10</f>
        <v>9</v>
      </c>
      <c r="C31">
        <f>[1]Иванова!$E$10</f>
        <v>37.800000000000004</v>
      </c>
    </row>
    <row r="32" spans="1:3" hidden="1" outlineLevel="1" collapsed="1" x14ac:dyDescent="0.25">
      <c r="B32">
        <f>[1]Сидорова!$D$11</f>
        <v>2</v>
      </c>
      <c r="C32">
        <f>[1]Сидорова!$E$11</f>
        <v>8.4</v>
      </c>
    </row>
    <row r="33" spans="1:3" collapsed="1" x14ac:dyDescent="0.25">
      <c r="A33" t="s">
        <v>13</v>
      </c>
      <c r="B33">
        <f>SUM(B31:B32)</f>
        <v>11</v>
      </c>
      <c r="C33">
        <f>SUM(C31:C32)</f>
        <v>46.2</v>
      </c>
    </row>
    <row r="34" spans="1:3" hidden="1" outlineLevel="1" x14ac:dyDescent="0.25">
      <c r="B34">
        <f>[1]Иванова!$D$11</f>
        <v>7</v>
      </c>
      <c r="C34">
        <f>[1]Иванова!$E$11</f>
        <v>27.3</v>
      </c>
    </row>
    <row r="35" spans="1:3" hidden="1" outlineLevel="1" collapsed="1" x14ac:dyDescent="0.25">
      <c r="B35">
        <f>[1]Петрова!$D$11</f>
        <v>6</v>
      </c>
      <c r="C35">
        <f>[1]Петрова!$E$11</f>
        <v>23.4</v>
      </c>
    </row>
    <row r="36" spans="1:3" hidden="1" outlineLevel="1" collapsed="1" x14ac:dyDescent="0.25">
      <c r="B36">
        <f>[1]Сидорова!$D$12</f>
        <v>8</v>
      </c>
      <c r="C36">
        <f>[1]Сидорова!$E$12</f>
        <v>31.2</v>
      </c>
    </row>
    <row r="37" spans="1:3" collapsed="1" x14ac:dyDescent="0.25">
      <c r="A37" t="s">
        <v>14</v>
      </c>
      <c r="B37">
        <f>SUM(B34:B36)</f>
        <v>21</v>
      </c>
      <c r="C37">
        <f>SUM(C34:C36)</f>
        <v>81.900000000000006</v>
      </c>
    </row>
    <row r="38" spans="1:3" hidden="1" outlineLevel="1" x14ac:dyDescent="0.25">
      <c r="B38">
        <f>[1]Иванова!$D$12</f>
        <v>5</v>
      </c>
      <c r="C38">
        <f>[1]Иванова!$E$12</f>
        <v>34.75</v>
      </c>
    </row>
    <row r="39" spans="1:3" hidden="1" outlineLevel="1" collapsed="1" x14ac:dyDescent="0.25">
      <c r="B39">
        <f>[1]Сидорова!$D$13</f>
        <v>4</v>
      </c>
      <c r="C39">
        <f>[1]Сидорова!$E$13</f>
        <v>27.8</v>
      </c>
    </row>
    <row r="40" spans="1:3" collapsed="1" x14ac:dyDescent="0.25">
      <c r="A40" t="s">
        <v>15</v>
      </c>
      <c r="B40">
        <f>SUM(B38:B39)</f>
        <v>9</v>
      </c>
      <c r="C40">
        <f>SUM(C38:C39)</f>
        <v>62.55</v>
      </c>
    </row>
    <row r="41" spans="1:3" hidden="1" outlineLevel="1" x14ac:dyDescent="0.25">
      <c r="B41">
        <f>[1]Петрова!$D$12</f>
        <v>4</v>
      </c>
      <c r="C41">
        <f>[1]Петрова!$E$12</f>
        <v>49.2</v>
      </c>
    </row>
    <row r="42" spans="1:3" collapsed="1" x14ac:dyDescent="0.25">
      <c r="A42" t="s">
        <v>38</v>
      </c>
      <c r="B42">
        <f>SUM(B41)</f>
        <v>4</v>
      </c>
      <c r="C42">
        <f>SUM(C41)</f>
        <v>49.2</v>
      </c>
    </row>
    <row r="43" spans="1:3" hidden="1" outlineLevel="1" x14ac:dyDescent="0.25">
      <c r="B43">
        <f>[1]Иванова!$D$13</f>
        <v>6</v>
      </c>
      <c r="C43">
        <f>[1]Иванова!$E$13</f>
        <v>25.200000000000003</v>
      </c>
    </row>
    <row r="44" spans="1:3" hidden="1" outlineLevel="1" collapsed="1" x14ac:dyDescent="0.25">
      <c r="B44">
        <f>[1]Петрова!$D$13</f>
        <v>7</v>
      </c>
      <c r="C44">
        <f>[1]Петрова!$E$13</f>
        <v>29.400000000000002</v>
      </c>
    </row>
    <row r="45" spans="1:3" hidden="1" outlineLevel="1" collapsed="1" x14ac:dyDescent="0.25">
      <c r="B45">
        <f>[1]Сидорова!$D$14</f>
        <v>2</v>
      </c>
      <c r="C45">
        <f>[1]Сидорова!$E$14</f>
        <v>8.4</v>
      </c>
    </row>
    <row r="46" spans="1:3" collapsed="1" x14ac:dyDescent="0.25">
      <c r="A46" t="s">
        <v>16</v>
      </c>
      <c r="B46">
        <f>SUM(B43:B45)</f>
        <v>15</v>
      </c>
      <c r="C46">
        <f>SUM(C43:C45)</f>
        <v>63.000000000000007</v>
      </c>
    </row>
    <row r="47" spans="1:3" hidden="1" outlineLevel="1" x14ac:dyDescent="0.25">
      <c r="B47">
        <f>[1]Иванова!$D$14</f>
        <v>5</v>
      </c>
      <c r="C47">
        <f>[1]Иванова!$E$14</f>
        <v>33.25</v>
      </c>
    </row>
    <row r="48" spans="1:3" hidden="1" outlineLevel="1" collapsed="1" x14ac:dyDescent="0.25">
      <c r="B48">
        <f>[1]Петрова!$D$14</f>
        <v>3</v>
      </c>
      <c r="C48">
        <f>[1]Петрова!$E$14</f>
        <v>19.950000000000003</v>
      </c>
    </row>
    <row r="49" spans="1:3" collapsed="1" x14ac:dyDescent="0.25">
      <c r="A49" t="s">
        <v>17</v>
      </c>
      <c r="B49">
        <f>SUM(B47:B48)</f>
        <v>8</v>
      </c>
      <c r="C49">
        <f>SUM(C47:C48)</f>
        <v>53.2</v>
      </c>
    </row>
    <row r="50" spans="1:3" hidden="1" outlineLevel="1" x14ac:dyDescent="0.25">
      <c r="B50">
        <f>[1]Иванова!$D$15</f>
        <v>4</v>
      </c>
      <c r="C50">
        <f>[1]Иванова!$E$15</f>
        <v>30.8</v>
      </c>
    </row>
    <row r="51" spans="1:3" hidden="1" outlineLevel="1" collapsed="1" x14ac:dyDescent="0.25">
      <c r="B51">
        <f>[1]Петрова!$D$15</f>
        <v>7</v>
      </c>
      <c r="C51">
        <f>[1]Петрова!$E$15</f>
        <v>53.9</v>
      </c>
    </row>
    <row r="52" spans="1:3" collapsed="1" x14ac:dyDescent="0.25">
      <c r="A52" t="s">
        <v>18</v>
      </c>
      <c r="B52">
        <f>SUM(B50:B51)</f>
        <v>11</v>
      </c>
      <c r="C52">
        <f>SUM(C50:C51)</f>
        <v>84.7</v>
      </c>
    </row>
    <row r="53" spans="1:3" hidden="1" outlineLevel="1" x14ac:dyDescent="0.25">
      <c r="B53">
        <f>[1]Иванова!$D$16</f>
        <v>7</v>
      </c>
      <c r="C53">
        <f>[1]Иванова!$E$16</f>
        <v>28</v>
      </c>
    </row>
    <row r="54" spans="1:3" hidden="1" outlineLevel="1" collapsed="1" x14ac:dyDescent="0.25">
      <c r="B54">
        <f>[1]Петрова!$D$16</f>
        <v>3</v>
      </c>
      <c r="C54">
        <f>[1]Петрова!$E$16</f>
        <v>12</v>
      </c>
    </row>
    <row r="55" spans="1:3" hidden="1" outlineLevel="1" collapsed="1" x14ac:dyDescent="0.25">
      <c r="B55">
        <f>[1]Сидорова!$D$15</f>
        <v>5</v>
      </c>
      <c r="C55">
        <f>[1]Сидорова!$E$15</f>
        <v>20</v>
      </c>
    </row>
    <row r="56" spans="1:3" collapsed="1" x14ac:dyDescent="0.25">
      <c r="A56" t="s">
        <v>19</v>
      </c>
      <c r="B56">
        <f>SUM(B53:B55)</f>
        <v>15</v>
      </c>
      <c r="C56">
        <f>SUM(C53:C55)</f>
        <v>60</v>
      </c>
    </row>
    <row r="57" spans="1:3" hidden="1" outlineLevel="1" x14ac:dyDescent="0.25">
      <c r="B57">
        <f>[1]Иванова!$D$17</f>
        <v>8</v>
      </c>
      <c r="C57">
        <f>[1]Иванова!$E$17</f>
        <v>35.200000000000003</v>
      </c>
    </row>
    <row r="58" spans="1:3" hidden="1" outlineLevel="1" collapsed="1" x14ac:dyDescent="0.25">
      <c r="B58">
        <f>[1]Иванова!$D$27</f>
        <v>8</v>
      </c>
      <c r="C58">
        <f>[1]Иванова!$E$27</f>
        <v>35.200000000000003</v>
      </c>
    </row>
    <row r="59" spans="1:3" hidden="1" outlineLevel="1" collapsed="1" x14ac:dyDescent="0.25">
      <c r="B59">
        <f>[1]Петрова!$D$17</f>
        <v>5</v>
      </c>
      <c r="C59">
        <f>[1]Петрова!$E$17</f>
        <v>22</v>
      </c>
    </row>
    <row r="60" spans="1:3" hidden="1" outlineLevel="1" collapsed="1" x14ac:dyDescent="0.25">
      <c r="B60">
        <f>[1]Сидорова!$D$16</f>
        <v>10</v>
      </c>
      <c r="C60">
        <f>[1]Сидорова!$E$16</f>
        <v>44</v>
      </c>
    </row>
    <row r="61" spans="1:3" hidden="1" outlineLevel="1" collapsed="1" x14ac:dyDescent="0.25">
      <c r="B61">
        <f>[1]Сидорова!$D$24</f>
        <v>10</v>
      </c>
      <c r="C61">
        <f>[1]Сидорова!$E$24</f>
        <v>44</v>
      </c>
    </row>
    <row r="62" spans="1:3" collapsed="1" x14ac:dyDescent="0.25">
      <c r="A62" t="s">
        <v>20</v>
      </c>
      <c r="B62">
        <f>SUM(B57:B61)</f>
        <v>41</v>
      </c>
      <c r="C62">
        <f>SUM(C57:C61)</f>
        <v>180.4</v>
      </c>
    </row>
    <row r="63" spans="1:3" hidden="1" outlineLevel="1" x14ac:dyDescent="0.25">
      <c r="B63">
        <f>[1]Иванова!$D$18</f>
        <v>12</v>
      </c>
      <c r="C63">
        <f>[1]Иванова!$E$18</f>
        <v>50.400000000000006</v>
      </c>
    </row>
    <row r="64" spans="1:3" hidden="1" outlineLevel="1" collapsed="1" x14ac:dyDescent="0.25">
      <c r="B64">
        <f>[1]Петрова!$D$18</f>
        <v>8</v>
      </c>
      <c r="C64">
        <f>[1]Петрова!$E$18</f>
        <v>33.6</v>
      </c>
    </row>
    <row r="65" spans="1:3" hidden="1" outlineLevel="1" collapsed="1" x14ac:dyDescent="0.25">
      <c r="B65">
        <f>[1]Сидорова!$D$17</f>
        <v>9</v>
      </c>
      <c r="C65">
        <f>[1]Сидорова!$E$17</f>
        <v>37.800000000000004</v>
      </c>
    </row>
    <row r="66" spans="1:3" collapsed="1" x14ac:dyDescent="0.25">
      <c r="A66" t="s">
        <v>21</v>
      </c>
      <c r="B66">
        <f>SUM(B63:B65)</f>
        <v>29</v>
      </c>
      <c r="C66">
        <f>SUM(C63:C65)</f>
        <v>121.80000000000001</v>
      </c>
    </row>
    <row r="67" spans="1:3" hidden="1" outlineLevel="1" x14ac:dyDescent="0.25">
      <c r="B67">
        <f>[1]Иванова!$D$19</f>
        <v>7</v>
      </c>
      <c r="C67">
        <f>[1]Иванова!$E$19</f>
        <v>20.3</v>
      </c>
    </row>
    <row r="68" spans="1:3" hidden="1" outlineLevel="1" collapsed="1" x14ac:dyDescent="0.25">
      <c r="B68">
        <f>[1]Петрова!$D$19</f>
        <v>10</v>
      </c>
      <c r="C68">
        <f>[1]Петрова!$E$19</f>
        <v>29</v>
      </c>
    </row>
    <row r="69" spans="1:3" hidden="1" outlineLevel="1" collapsed="1" x14ac:dyDescent="0.25">
      <c r="B69">
        <f>[1]Сидорова!$D$18</f>
        <v>15</v>
      </c>
      <c r="C69">
        <f>[1]Сидорова!$E$18</f>
        <v>43.5</v>
      </c>
    </row>
    <row r="70" spans="1:3" collapsed="1" x14ac:dyDescent="0.25">
      <c r="A70" t="s">
        <v>22</v>
      </c>
      <c r="B70">
        <f>SUM(B67:B69)</f>
        <v>32</v>
      </c>
      <c r="C70">
        <f>SUM(C67:C69)</f>
        <v>92.8</v>
      </c>
    </row>
    <row r="71" spans="1:3" hidden="1" outlineLevel="1" x14ac:dyDescent="0.25">
      <c r="B71">
        <f>[1]Иванова!$D$20</f>
        <v>10</v>
      </c>
      <c r="C71">
        <f>[1]Иванова!$E$20</f>
        <v>47</v>
      </c>
    </row>
    <row r="72" spans="1:3" hidden="1" outlineLevel="1" collapsed="1" x14ac:dyDescent="0.25">
      <c r="B72">
        <f>[1]Сидорова!$D$19</f>
        <v>8</v>
      </c>
      <c r="C72">
        <f>[1]Сидорова!$E$19</f>
        <v>37.6</v>
      </c>
    </row>
    <row r="73" spans="1:3" collapsed="1" x14ac:dyDescent="0.25">
      <c r="A73" t="s">
        <v>23</v>
      </c>
      <c r="B73">
        <f>SUM(B71:B72)</f>
        <v>18</v>
      </c>
      <c r="C73">
        <f>SUM(C71:C72)</f>
        <v>84.6</v>
      </c>
    </row>
    <row r="74" spans="1:3" hidden="1" outlineLevel="1" x14ac:dyDescent="0.25">
      <c r="B74">
        <f>[1]Иванова!$D$21</f>
        <v>5</v>
      </c>
      <c r="C74">
        <f>[1]Иванова!$E$21</f>
        <v>24</v>
      </c>
    </row>
    <row r="75" spans="1:3" hidden="1" outlineLevel="1" collapsed="1" x14ac:dyDescent="0.25">
      <c r="B75">
        <f>[1]Петрова!$D$20</f>
        <v>7</v>
      </c>
      <c r="C75">
        <f>[1]Петрова!$E$20</f>
        <v>33.6</v>
      </c>
    </row>
    <row r="76" spans="1:3" hidden="1" outlineLevel="1" collapsed="1" x14ac:dyDescent="0.25">
      <c r="B76">
        <f>[1]Сидорова!$D$20</f>
        <v>6</v>
      </c>
      <c r="C76">
        <f>[1]Сидорова!$E$20</f>
        <v>28.799999999999997</v>
      </c>
    </row>
    <row r="77" spans="1:3" collapsed="1" x14ac:dyDescent="0.25">
      <c r="A77" t="s">
        <v>24</v>
      </c>
      <c r="B77">
        <f>SUM(B74:B76)</f>
        <v>18</v>
      </c>
      <c r="C77">
        <f>SUM(C74:C76)</f>
        <v>86.4</v>
      </c>
    </row>
    <row r="78" spans="1:3" hidden="1" outlineLevel="1" x14ac:dyDescent="0.25">
      <c r="B78">
        <f>[1]Иванова!$D$22</f>
        <v>5</v>
      </c>
      <c r="C78">
        <f>[1]Иванова!$E$22</f>
        <v>18.25</v>
      </c>
    </row>
    <row r="79" spans="1:3" hidden="1" outlineLevel="1" collapsed="1" x14ac:dyDescent="0.25">
      <c r="B79">
        <f>[1]Петрова!$D$21</f>
        <v>4</v>
      </c>
      <c r="C79">
        <f>[1]Петрова!$E$21</f>
        <v>14.6</v>
      </c>
    </row>
    <row r="80" spans="1:3" hidden="1" outlineLevel="1" collapsed="1" x14ac:dyDescent="0.25">
      <c r="B80">
        <f>[1]Сидорова!$D$21</f>
        <v>2</v>
      </c>
      <c r="C80">
        <f>[1]Сидорова!$E$21</f>
        <v>7.3</v>
      </c>
    </row>
    <row r="81" spans="1:3" collapsed="1" x14ac:dyDescent="0.25">
      <c r="A81" t="s">
        <v>25</v>
      </c>
      <c r="B81">
        <f>SUM(B78:B80)</f>
        <v>11</v>
      </c>
      <c r="C81">
        <f>SUM(C78:C80)</f>
        <v>40.15</v>
      </c>
    </row>
    <row r="82" spans="1:3" hidden="1" outlineLevel="1" x14ac:dyDescent="0.25">
      <c r="B82">
        <f>[1]Иванова!$D$23</f>
        <v>1</v>
      </c>
      <c r="C82">
        <f>[1]Иванова!$E$23</f>
        <v>6.65</v>
      </c>
    </row>
    <row r="83" spans="1:3" hidden="1" outlineLevel="1" collapsed="1" x14ac:dyDescent="0.25">
      <c r="B83">
        <f>[1]Петрова!$D$22</f>
        <v>2</v>
      </c>
      <c r="C83">
        <f>[1]Петрова!$E$22</f>
        <v>13.3</v>
      </c>
    </row>
    <row r="84" spans="1:3" collapsed="1" x14ac:dyDescent="0.25">
      <c r="A84" t="s">
        <v>26</v>
      </c>
      <c r="B84">
        <f>SUM(B82:B83)</f>
        <v>3</v>
      </c>
      <c r="C84">
        <f>SUM(C82:C83)</f>
        <v>19.950000000000003</v>
      </c>
    </row>
    <row r="85" spans="1:3" hidden="1" outlineLevel="1" x14ac:dyDescent="0.25">
      <c r="B85">
        <f>[1]Петрова!$D$23</f>
        <v>1</v>
      </c>
      <c r="C85">
        <f>[1]Петрова!$E$23</f>
        <v>5.75</v>
      </c>
    </row>
    <row r="86" spans="1:3" collapsed="1" x14ac:dyDescent="0.25">
      <c r="A86" t="s">
        <v>39</v>
      </c>
      <c r="B86">
        <f>SUM(B85)</f>
        <v>1</v>
      </c>
      <c r="C86">
        <f>SUM(C85)</f>
        <v>5.75</v>
      </c>
    </row>
    <row r="87" spans="1:3" hidden="1" outlineLevel="1" x14ac:dyDescent="0.25">
      <c r="B87">
        <f>[1]Сидорова!$D$22</f>
        <v>4</v>
      </c>
      <c r="C87">
        <f>[1]Сидорова!$E$22</f>
        <v>27.8</v>
      </c>
    </row>
    <row r="88" spans="1:3" collapsed="1" x14ac:dyDescent="0.25">
      <c r="A88" t="s">
        <v>42</v>
      </c>
      <c r="B88">
        <f>SUM(B87)</f>
        <v>4</v>
      </c>
      <c r="C88">
        <f>SUM(C87)</f>
        <v>27.8</v>
      </c>
    </row>
    <row r="89" spans="1:3" hidden="1" outlineLevel="1" x14ac:dyDescent="0.25">
      <c r="B89">
        <f>[1]Иванова!$D$24</f>
        <v>6</v>
      </c>
      <c r="C89">
        <f>[1]Иванова!$E$24</f>
        <v>26.400000000000002</v>
      </c>
    </row>
    <row r="90" spans="1:3" hidden="1" outlineLevel="1" collapsed="1" x14ac:dyDescent="0.25">
      <c r="B90">
        <f>[1]Петрова!$D$24</f>
        <v>7</v>
      </c>
      <c r="C90">
        <f>[1]Петрова!$E$24</f>
        <v>30.800000000000004</v>
      </c>
    </row>
    <row r="91" spans="1:3" hidden="1" outlineLevel="1" collapsed="1" x14ac:dyDescent="0.25">
      <c r="B91">
        <f>[1]Сидорова!$D$23</f>
        <v>5</v>
      </c>
      <c r="C91">
        <f>[1]Сидорова!$E$23</f>
        <v>22</v>
      </c>
    </row>
    <row r="92" spans="1:3" collapsed="1" x14ac:dyDescent="0.25">
      <c r="A92" t="s">
        <v>27</v>
      </c>
      <c r="B92">
        <f>SUM(B89:B91)</f>
        <v>18</v>
      </c>
      <c r="C92">
        <f>SUM(C89:C91)</f>
        <v>79.2</v>
      </c>
    </row>
    <row r="93" spans="1:3" hidden="1" outlineLevel="1" x14ac:dyDescent="0.25">
      <c r="B93">
        <f>[1]Иванова!$D$25</f>
        <v>3</v>
      </c>
      <c r="C93">
        <f>[1]Иванова!$E$25</f>
        <v>9.3000000000000007</v>
      </c>
    </row>
    <row r="94" spans="1:3" collapsed="1" x14ac:dyDescent="0.25">
      <c r="A94" t="s">
        <v>28</v>
      </c>
      <c r="B94">
        <f>SUM(B93)</f>
        <v>3</v>
      </c>
      <c r="C94">
        <f>SUM(C93)</f>
        <v>9.3000000000000007</v>
      </c>
    </row>
    <row r="95" spans="1:3" hidden="1" outlineLevel="1" x14ac:dyDescent="0.25">
      <c r="B95">
        <f>[1]Иванова!$D$26</f>
        <v>4</v>
      </c>
      <c r="C95">
        <f>[1]Иванова!$E$26</f>
        <v>18</v>
      </c>
    </row>
    <row r="96" spans="1:3" hidden="1" outlineLevel="1" collapsed="1" x14ac:dyDescent="0.25">
      <c r="B96">
        <f>[1]Петрова!$D$25</f>
        <v>3</v>
      </c>
      <c r="C96">
        <f>[1]Петрова!$E$25</f>
        <v>13.5</v>
      </c>
    </row>
    <row r="97" spans="1:3" collapsed="1" x14ac:dyDescent="0.25">
      <c r="A97" t="s">
        <v>29</v>
      </c>
      <c r="B97">
        <f>SUM(B95:B96)</f>
        <v>7</v>
      </c>
      <c r="C97">
        <f>SUM(C95:C96)</f>
        <v>31.5</v>
      </c>
    </row>
    <row r="98" spans="1:3" hidden="1" outlineLevel="1" x14ac:dyDescent="0.25">
      <c r="B98">
        <f>[1]Иванова!$D$28</f>
        <v>7</v>
      </c>
      <c r="C98">
        <f>[1]Иванова!$E$28</f>
        <v>26.599999999999998</v>
      </c>
    </row>
    <row r="99" spans="1:3" hidden="1" outlineLevel="1" collapsed="1" x14ac:dyDescent="0.25">
      <c r="B99">
        <f>[1]Петрова!$D$26</f>
        <v>5</v>
      </c>
      <c r="C99">
        <f>[1]Петрова!$E$26</f>
        <v>19</v>
      </c>
    </row>
    <row r="100" spans="1:3" collapsed="1" x14ac:dyDescent="0.25">
      <c r="A100" t="s">
        <v>30</v>
      </c>
      <c r="B100">
        <f>SUM(B98:B99)</f>
        <v>12</v>
      </c>
      <c r="C100">
        <f>SUM(C98:C99)</f>
        <v>45.599999999999994</v>
      </c>
    </row>
    <row r="101" spans="1:3" hidden="1" outlineLevel="1" x14ac:dyDescent="0.25">
      <c r="B101">
        <f>[1]Иванова!$D$29</f>
        <v>7</v>
      </c>
      <c r="C101">
        <f>[1]Иванова!$E$29</f>
        <v>9.1</v>
      </c>
    </row>
    <row r="102" spans="1:3" hidden="1" outlineLevel="1" collapsed="1" x14ac:dyDescent="0.25">
      <c r="B102">
        <f>[1]Петрова!$D$27</f>
        <v>3</v>
      </c>
      <c r="C102">
        <f>[1]Петрова!$E$27</f>
        <v>3.9000000000000004</v>
      </c>
    </row>
    <row r="103" spans="1:3" collapsed="1" x14ac:dyDescent="0.25">
      <c r="A103" t="s">
        <v>31</v>
      </c>
      <c r="B103">
        <f>SUM(B101:B102)</f>
        <v>10</v>
      </c>
      <c r="C103">
        <f>SUM(C101:C102)</f>
        <v>13</v>
      </c>
    </row>
    <row r="104" spans="1:3" hidden="1" outlineLevel="1" x14ac:dyDescent="0.25">
      <c r="B104">
        <f>[1]Иванова!$D$30</f>
        <v>8</v>
      </c>
      <c r="C104">
        <f>[1]Иванова!$E$30</f>
        <v>25.6</v>
      </c>
    </row>
    <row r="105" spans="1:3" collapsed="1" x14ac:dyDescent="0.25">
      <c r="A105" t="s">
        <v>32</v>
      </c>
      <c r="B105">
        <f>SUM(B104)</f>
        <v>8</v>
      </c>
      <c r="C105">
        <f>SUM(C104)</f>
        <v>25.6</v>
      </c>
    </row>
    <row r="106" spans="1:3" hidden="1" outlineLevel="1" x14ac:dyDescent="0.25">
      <c r="B106">
        <f>[1]Сидорова!$D$25</f>
        <v>6</v>
      </c>
      <c r="C106">
        <f>[1]Сидорова!$E$25</f>
        <v>39</v>
      </c>
    </row>
    <row r="107" spans="1:3" collapsed="1" x14ac:dyDescent="0.25">
      <c r="A107" t="s">
        <v>43</v>
      </c>
      <c r="B107">
        <f>SUM(B106)</f>
        <v>6</v>
      </c>
      <c r="C107">
        <f>SUM(C106)</f>
        <v>39</v>
      </c>
    </row>
    <row r="108" spans="1:3" hidden="1" outlineLevel="1" x14ac:dyDescent="0.25">
      <c r="B108">
        <f>[1]Петрова!$D$28</f>
        <v>5</v>
      </c>
      <c r="C108">
        <f>[1]Петрова!$E$28</f>
        <v>16</v>
      </c>
    </row>
    <row r="109" spans="1:3" hidden="1" outlineLevel="1" collapsed="1" x14ac:dyDescent="0.25">
      <c r="B109">
        <f>[1]Сидорова!$D$26</f>
        <v>4</v>
      </c>
      <c r="C109">
        <f>[1]Сидорова!$E$26</f>
        <v>12.8</v>
      </c>
    </row>
    <row r="110" spans="1:3" collapsed="1" x14ac:dyDescent="0.25">
      <c r="A110" t="s">
        <v>40</v>
      </c>
      <c r="B110">
        <f>SUM(B108:B109)</f>
        <v>9</v>
      </c>
      <c r="C110">
        <f>SUM(C108:C109)</f>
        <v>28.8</v>
      </c>
    </row>
    <row r="111" spans="1:3" hidden="1" outlineLevel="1" x14ac:dyDescent="0.25">
      <c r="B111">
        <f>[1]Иванова!$D$31</f>
        <v>5</v>
      </c>
      <c r="C111">
        <f>[1]Иванова!$E$31</f>
        <v>21.5</v>
      </c>
    </row>
    <row r="112" spans="1:3" hidden="1" outlineLevel="1" collapsed="1" x14ac:dyDescent="0.25">
      <c r="B112">
        <f>[1]Петрова!$D$29</f>
        <v>4</v>
      </c>
      <c r="C112">
        <f>[1]Петрова!$E$29</f>
        <v>17.2</v>
      </c>
    </row>
    <row r="113" spans="1:3" hidden="1" outlineLevel="1" collapsed="1" x14ac:dyDescent="0.25">
      <c r="B113">
        <f>[1]Сидорова!$D$27</f>
        <v>2</v>
      </c>
      <c r="C113">
        <f>[1]Сидорова!$E$27</f>
        <v>8.6</v>
      </c>
    </row>
    <row r="114" spans="1:3" collapsed="1" x14ac:dyDescent="0.25">
      <c r="A114" t="s">
        <v>33</v>
      </c>
      <c r="B114">
        <f>SUM(B111:B113)</f>
        <v>11</v>
      </c>
      <c r="C114">
        <f>SUM(C111:C113)</f>
        <v>47.300000000000004</v>
      </c>
    </row>
    <row r="115" spans="1:3" hidden="1" outlineLevel="1" x14ac:dyDescent="0.25">
      <c r="B115">
        <f>[1]Сидорова!$D$28</f>
        <v>2</v>
      </c>
      <c r="C115">
        <f>[1]Сидорова!$E$28</f>
        <v>13</v>
      </c>
    </row>
    <row r="116" spans="1:3" collapsed="1" x14ac:dyDescent="0.25">
      <c r="A116" t="s">
        <v>44</v>
      </c>
      <c r="B116">
        <f>SUM(B115)</f>
        <v>2</v>
      </c>
      <c r="C116">
        <f>SUM(C115)</f>
        <v>13</v>
      </c>
    </row>
    <row r="117" spans="1:3" hidden="1" outlineLevel="1" x14ac:dyDescent="0.25">
      <c r="B117">
        <f>[1]Иванова!$D$32</f>
        <v>1</v>
      </c>
      <c r="C117">
        <f>[1]Иванова!$E$32</f>
        <v>6.95</v>
      </c>
    </row>
    <row r="118" spans="1:3" hidden="1" outlineLevel="1" collapsed="1" x14ac:dyDescent="0.25">
      <c r="B118">
        <f>[1]Сидорова!$D$29</f>
        <v>2</v>
      </c>
      <c r="C118">
        <f>[1]Сидорова!$E$29</f>
        <v>13.9</v>
      </c>
    </row>
    <row r="119" spans="1:3" collapsed="1" x14ac:dyDescent="0.25">
      <c r="A119" t="s">
        <v>34</v>
      </c>
      <c r="B119">
        <f>SUM(B117:B118)</f>
        <v>3</v>
      </c>
      <c r="C119">
        <f>SUM(C117:C118)</f>
        <v>20.85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Иванова</vt:lpstr>
      <vt:lpstr>Петрова</vt:lpstr>
      <vt:lpstr>Сидорова</vt:lpstr>
      <vt:lpstr>Итого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2026-04-11T09:07:35Z</dcterms:modified>
</cp:coreProperties>
</file>