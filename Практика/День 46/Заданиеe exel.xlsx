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6\"/>
    </mc:Choice>
  </mc:AlternateContent>
  <xr:revisionPtr revIDLastSave="0" documentId="13_ncr:1_{CFF60E60-DCA5-4151-8DE9-9E895A398717}" xr6:coauthVersionLast="47" xr6:coauthVersionMax="47" xr10:uidLastSave="{00000000-0000-0000-0000-000000000000}"/>
  <bookViews>
    <workbookView xWindow="1515" yWindow="1515" windowWidth="21600" windowHeight="11100" xr2:uid="{00000000-000D-0000-FFFF-FFFF00000000}"/>
  </bookViews>
  <sheets>
    <sheet name="Физика" sheetId="1" r:id="rId1"/>
    <sheet name="Химия" sheetId="2" r:id="rId2"/>
    <sheet name="Математика" sheetId="3" r:id="rId3"/>
    <sheet name="Сводная ведомость" sheetId="4" r:id="rId4"/>
    <sheet name="Бухгалтерия" sheetId="5" r:id="rId5"/>
  </sheets>
  <definedNames>
    <definedName name="_xlnm._FilterDatabase" localSheetId="4" hidden="1">Бухгалтерия!$A$1:$G$4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F4" i="5" s="1"/>
  <c r="F3" i="5"/>
  <c r="F2" i="5"/>
  <c r="E4" i="4"/>
  <c r="F4" i="4" s="1"/>
  <c r="E3" i="4"/>
  <c r="F3" i="4" s="1"/>
  <c r="E2" i="4"/>
  <c r="F2" i="4" s="1"/>
  <c r="E4" i="3"/>
  <c r="F4" i="3" s="1"/>
  <c r="D4" i="3"/>
  <c r="E3" i="3"/>
  <c r="F3" i="3" s="1"/>
  <c r="D3" i="3"/>
  <c r="G2" i="3"/>
  <c r="E2" i="3"/>
  <c r="F2" i="3" s="1"/>
  <c r="D2" i="3"/>
  <c r="E4" i="2"/>
  <c r="F4" i="2" s="1"/>
  <c r="D4" i="2"/>
  <c r="F3" i="2"/>
  <c r="E3" i="2"/>
  <c r="D3" i="2"/>
  <c r="G2" i="2"/>
  <c r="E2" i="2"/>
  <c r="F2" i="2" s="1"/>
  <c r="D2" i="2"/>
  <c r="F3" i="1"/>
  <c r="F4" i="1"/>
  <c r="F2" i="1"/>
  <c r="E3" i="1"/>
  <c r="E4" i="1"/>
  <c r="G2" i="1"/>
  <c r="D4" i="1"/>
  <c r="D3" i="1"/>
  <c r="E2" i="1"/>
  <c r="D2" i="1"/>
</calcChain>
</file>

<file path=xl/sharedStrings.xml><?xml version="1.0" encoding="utf-8"?>
<sst xmlns="http://schemas.openxmlformats.org/spreadsheetml/2006/main" count="49" uniqueCount="16">
  <si>
    <t>Фамилия</t>
  </si>
  <si>
    <t>Допуск</t>
  </si>
  <si>
    <t>Сумма</t>
  </si>
  <si>
    <t>Оценка</t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</si>
  <si>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теор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</si>
  <si>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тек</t>
    </r>
  </si>
  <si>
    <t>Кол-во студентов</t>
  </si>
  <si>
    <t>Боб</t>
  </si>
  <si>
    <t>Биб</t>
  </si>
  <si>
    <t>Зизя</t>
  </si>
  <si>
    <t>Физика</t>
  </si>
  <si>
    <t>Химия</t>
  </si>
  <si>
    <t>Математика</t>
  </si>
  <si>
    <t>Средний балл</t>
  </si>
  <si>
    <t>Стипендия</t>
  </si>
  <si>
    <t>Зачетки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</si>
</sst>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92038495188102E-2"/>
          <c:y val="7.407407407407407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Математика!$F$2:$F$4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3-4B17-B5CC-55A9BA4E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02064"/>
        <c:axId val="150697488"/>
      </c:barChart>
      <c:catAx>
        <c:axId val="15070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697488"/>
        <c:crosses val="autoZero"/>
        <c:auto val="1"/>
        <c:lblAlgn val="ctr"/>
        <c:lblOffset val="100"/>
        <c:noMultiLvlLbl val="0"/>
      </c:catAx>
      <c:valAx>
        <c:axId val="1506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119062</xdr:rowOff>
    </xdr:from>
    <xdr:to>
      <xdr:col>10</xdr:col>
      <xdr:colOff>523875</xdr:colOff>
      <xdr:row>26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0B65C8-A17F-4957-915B-B2AD9EA74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2" sqref="A2:A4"/>
    </sheetView>
  </sheetViews>
  <sheetFormatPr defaultRowHeight="15" x14ac:dyDescent="0.25"/>
  <cols>
    <col min="4" max="4" width="17.5703125" customWidth="1"/>
    <col min="7" max="7" width="17" bestFit="1" customWidth="1"/>
  </cols>
  <sheetData>
    <row r="1" spans="1:8" ht="18" x14ac:dyDescent="0.35">
      <c r="A1" s="1" t="s">
        <v>0</v>
      </c>
      <c r="B1" s="2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  <c r="H1" s="3"/>
    </row>
    <row r="2" spans="1:8" x14ac:dyDescent="0.25">
      <c r="A2" s="1" t="s">
        <v>7</v>
      </c>
      <c r="B2" s="1">
        <v>40</v>
      </c>
      <c r="C2" s="1">
        <v>29</v>
      </c>
      <c r="D2" s="1" t="str">
        <f>IF(B2&gt;=36, "Допущен", "Не допущен")</f>
        <v>Допущен</v>
      </c>
      <c r="E2" s="1">
        <f>B2+C2</f>
        <v>69</v>
      </c>
      <c r="F2" s="1">
        <f>IF(B2&lt;36, 2, MIN(10, INT(E2/10)))</f>
        <v>6</v>
      </c>
      <c r="G2" s="4">
        <f>COUNTA(A2:A20)</f>
        <v>3</v>
      </c>
      <c r="H2" s="3"/>
    </row>
    <row r="3" spans="1:8" x14ac:dyDescent="0.25">
      <c r="A3" s="1" t="s">
        <v>8</v>
      </c>
      <c r="B3" s="1">
        <v>80</v>
      </c>
      <c r="C3" s="1">
        <v>100</v>
      </c>
      <c r="D3" s="1" t="str">
        <f>IF(B3&gt;=36, "Допущен", "Не допущен")</f>
        <v>Допущен</v>
      </c>
      <c r="E3" s="1">
        <f t="shared" ref="E3:E4" si="0">B3+C3</f>
        <v>180</v>
      </c>
      <c r="F3" s="1">
        <f t="shared" ref="F3:F4" si="1">IF(B3&lt;36, 2, MIN(10, INT(E3/10)))</f>
        <v>10</v>
      </c>
      <c r="G3" s="5"/>
      <c r="H3" s="3"/>
    </row>
    <row r="4" spans="1:8" x14ac:dyDescent="0.25">
      <c r="A4" s="1" t="s">
        <v>9</v>
      </c>
      <c r="B4" s="1">
        <v>30</v>
      </c>
      <c r="C4" s="1">
        <v>0</v>
      </c>
      <c r="D4" s="1" t="str">
        <f>IF(B4&gt;=36, "Допущен", "Не допущен")</f>
        <v>Не допущен</v>
      </c>
      <c r="E4" s="1">
        <f t="shared" si="0"/>
        <v>30</v>
      </c>
      <c r="F4" s="1">
        <f t="shared" si="1"/>
        <v>2</v>
      </c>
      <c r="G4" s="6"/>
      <c r="H4" s="3"/>
    </row>
  </sheetData>
  <mergeCells count="1">
    <mergeCell ref="G2:G4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687F-0B93-4AA4-A2D1-32A42DCA596D}">
  <dimension ref="A1:G4"/>
  <sheetViews>
    <sheetView workbookViewId="0">
      <selection activeCell="F2" sqref="F2"/>
    </sheetView>
  </sheetViews>
  <sheetFormatPr defaultRowHeight="15" x14ac:dyDescent="0.25"/>
  <sheetData>
    <row r="1" spans="1:7" ht="18" x14ac:dyDescent="0.35">
      <c r="A1" s="1" t="s">
        <v>0</v>
      </c>
      <c r="B1" s="2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x14ac:dyDescent="0.25">
      <c r="A2" s="1" t="s">
        <v>7</v>
      </c>
      <c r="B2" s="1">
        <v>22</v>
      </c>
      <c r="C2" s="1">
        <v>0</v>
      </c>
      <c r="D2" s="1" t="str">
        <f>IF(B2&gt;=36, "Допущен", "Не допущен")</f>
        <v>Не допущен</v>
      </c>
      <c r="E2" s="1">
        <f>B2+C2</f>
        <v>22</v>
      </c>
      <c r="F2" s="1">
        <f>IF(B2&lt;36, 2, MIN(10, INT(E2/10)))</f>
        <v>2</v>
      </c>
      <c r="G2" s="4">
        <f>COUNTA(A2:A20)</f>
        <v>3</v>
      </c>
    </row>
    <row r="3" spans="1:7" x14ac:dyDescent="0.25">
      <c r="A3" s="1" t="s">
        <v>8</v>
      </c>
      <c r="B3" s="1">
        <v>35</v>
      </c>
      <c r="C3" s="1">
        <v>0</v>
      </c>
      <c r="D3" s="1" t="str">
        <f>IF(B3&gt;=36, "Допущен", "Не допущен")</f>
        <v>Не допущен</v>
      </c>
      <c r="E3" s="1">
        <f t="shared" ref="E3:E4" si="0">B3+C3</f>
        <v>35</v>
      </c>
      <c r="F3" s="1">
        <f t="shared" ref="F3:F4" si="1">IF(B3&lt;36, 2, MIN(10, INT(E3/10)))</f>
        <v>2</v>
      </c>
      <c r="G3" s="5"/>
    </row>
    <row r="4" spans="1:7" x14ac:dyDescent="0.25">
      <c r="A4" s="1" t="s">
        <v>9</v>
      </c>
      <c r="B4" s="1">
        <v>50</v>
      </c>
      <c r="C4" s="1">
        <v>76</v>
      </c>
      <c r="D4" s="1" t="str">
        <f>IF(B4&gt;=36, "Допущен", "Не допущен")</f>
        <v>Допущен</v>
      </c>
      <c r="E4" s="1">
        <f t="shared" si="0"/>
        <v>126</v>
      </c>
      <c r="F4" s="1">
        <f t="shared" si="1"/>
        <v>10</v>
      </c>
      <c r="G4" s="6"/>
    </row>
  </sheetData>
  <mergeCells count="1">
    <mergeCell ref="G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F55A-FE77-4C39-87DF-46C3A76E9FE4}">
  <dimension ref="A1:G4"/>
  <sheetViews>
    <sheetView workbookViewId="0">
      <selection activeCell="F4" sqref="A1:F4"/>
    </sheetView>
  </sheetViews>
  <sheetFormatPr defaultRowHeight="15" x14ac:dyDescent="0.25"/>
  <sheetData>
    <row r="1" spans="1:7" ht="18" x14ac:dyDescent="0.35">
      <c r="A1" s="1" t="s">
        <v>0</v>
      </c>
      <c r="B1" s="2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x14ac:dyDescent="0.25">
      <c r="A2" s="1" t="s">
        <v>7</v>
      </c>
      <c r="B2" s="1">
        <v>90</v>
      </c>
      <c r="C2" s="1">
        <v>1</v>
      </c>
      <c r="D2" s="1" t="str">
        <f>IF(B2&gt;=36, "Допущен", "Не допущен")</f>
        <v>Допущен</v>
      </c>
      <c r="E2" s="1">
        <f>B2+C2</f>
        <v>91</v>
      </c>
      <c r="F2" s="1">
        <f>IF(B2&lt;36, 2, MIN(10, INT(E2/10)))</f>
        <v>9</v>
      </c>
      <c r="G2" s="4">
        <f>COUNTA(A2:A20)</f>
        <v>3</v>
      </c>
    </row>
    <row r="3" spans="1:7" x14ac:dyDescent="0.25">
      <c r="A3" s="1" t="s">
        <v>8</v>
      </c>
      <c r="B3" s="1">
        <v>45</v>
      </c>
      <c r="C3" s="1">
        <v>11</v>
      </c>
      <c r="D3" s="1" t="str">
        <f>IF(B3&gt;=36, "Допущен", "Не допущен")</f>
        <v>Допущен</v>
      </c>
      <c r="E3" s="1">
        <f t="shared" ref="E3:E4" si="0">B3+C3</f>
        <v>56</v>
      </c>
      <c r="F3" s="1">
        <f t="shared" ref="F3:F4" si="1">IF(B3&lt;36, 2, MIN(10, INT(E3/10)))</f>
        <v>5</v>
      </c>
      <c r="G3" s="5"/>
    </row>
    <row r="4" spans="1:7" x14ac:dyDescent="0.25">
      <c r="A4" s="1" t="s">
        <v>9</v>
      </c>
      <c r="B4" s="1">
        <v>60</v>
      </c>
      <c r="C4" s="1">
        <v>90</v>
      </c>
      <c r="D4" s="1" t="str">
        <f>IF(B4&gt;=36, "Допущен", "Не допущен")</f>
        <v>Допущен</v>
      </c>
      <c r="E4" s="1">
        <f t="shared" si="0"/>
        <v>150</v>
      </c>
      <c r="F4" s="1">
        <f t="shared" si="1"/>
        <v>10</v>
      </c>
      <c r="G4" s="6"/>
    </row>
  </sheetData>
  <mergeCells count="1">
    <mergeCell ref="G2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5550-F6AD-48D1-ABE7-382A1B4FE1EF}">
  <dimension ref="A1:F4"/>
  <sheetViews>
    <sheetView workbookViewId="0">
      <selection activeCell="F4" sqref="A1:F4"/>
    </sheetView>
  </sheetViews>
  <sheetFormatPr defaultRowHeight="15" x14ac:dyDescent="0.25"/>
  <cols>
    <col min="4" max="4" width="15.140625" customWidth="1"/>
    <col min="5" max="5" width="19.42578125" customWidth="1"/>
  </cols>
  <sheetData>
    <row r="1" spans="1:6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1" t="s">
        <v>7</v>
      </c>
      <c r="B2" s="1">
        <v>6</v>
      </c>
      <c r="C2" s="1">
        <v>2</v>
      </c>
      <c r="D2" s="1">
        <v>9</v>
      </c>
      <c r="E2" s="1">
        <f>AVERAGE(B2:D2)</f>
        <v>5.666666666666667</v>
      </c>
      <c r="F2" s="1">
        <f>IF(E2&gt;8.5, 1200, IF(AND(E2&gt;=7, E2&lt;=8.5), 800, 0))</f>
        <v>0</v>
      </c>
    </row>
    <row r="3" spans="1:6" x14ac:dyDescent="0.25">
      <c r="A3" s="1" t="s">
        <v>8</v>
      </c>
      <c r="B3" s="1">
        <v>10</v>
      </c>
      <c r="C3" s="1">
        <v>2</v>
      </c>
      <c r="D3" s="1">
        <v>5</v>
      </c>
      <c r="E3" s="1">
        <f>AVERAGE(B3:D3)</f>
        <v>5.666666666666667</v>
      </c>
      <c r="F3" s="1">
        <f t="shared" ref="F3:F4" si="0">IF(E3&gt;8.5, 1200, IF(AND(E3&gt;=7, E3&lt;=8.5), 800, 0))</f>
        <v>0</v>
      </c>
    </row>
    <row r="4" spans="1:6" x14ac:dyDescent="0.25">
      <c r="A4" s="1" t="s">
        <v>9</v>
      </c>
      <c r="B4" s="1">
        <v>2</v>
      </c>
      <c r="C4" s="1">
        <v>10</v>
      </c>
      <c r="D4" s="1">
        <v>10</v>
      </c>
      <c r="E4" s="1">
        <f>AVERAGE(B4:D4)</f>
        <v>7.333333333333333</v>
      </c>
      <c r="F4" s="1">
        <f t="shared" si="0"/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6369-6C85-4204-A854-CF3308BEFC01}">
  <sheetPr filterMode="1"/>
  <dimension ref="A1:G4"/>
  <sheetViews>
    <sheetView workbookViewId="0">
      <selection activeCell="F20" sqref="F20"/>
    </sheetView>
  </sheetViews>
  <sheetFormatPr defaultRowHeight="15" x14ac:dyDescent="0.25"/>
  <sheetData>
    <row r="1" spans="1:7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7" t="s">
        <v>15</v>
      </c>
    </row>
    <row r="2" spans="1:7" hidden="1" x14ac:dyDescent="0.25">
      <c r="A2" s="1" t="s">
        <v>7</v>
      </c>
      <c r="B2" s="1">
        <v>6</v>
      </c>
      <c r="C2" s="1">
        <v>2</v>
      </c>
      <c r="D2" s="1">
        <v>9</v>
      </c>
      <c r="E2" s="1">
        <f>AVERAGE(B2:D2)</f>
        <v>5.666666666666667</v>
      </c>
      <c r="F2" s="1">
        <f>IF(E2&gt;8.5, 1200, IF(AND(E2&gt;=7, E2&lt;=8.5), 800, 0))</f>
        <v>0</v>
      </c>
      <c r="G2" s="1">
        <v>123</v>
      </c>
    </row>
    <row r="3" spans="1:7" hidden="1" x14ac:dyDescent="0.25">
      <c r="A3" s="1" t="s">
        <v>8</v>
      </c>
      <c r="B3" s="1">
        <v>10</v>
      </c>
      <c r="C3" s="1">
        <v>2</v>
      </c>
      <c r="D3" s="1">
        <v>5</v>
      </c>
      <c r="E3" s="1">
        <f>AVERAGE(B3:D3)</f>
        <v>5.666666666666667</v>
      </c>
      <c r="F3" s="1">
        <f>IF(E3&gt;8.5, 1200, IF(AND(E3&gt;=7, E3&lt;=8.5), 800, 0))</f>
        <v>0</v>
      </c>
      <c r="G3" s="1">
        <v>2324</v>
      </c>
    </row>
    <row r="4" spans="1:7" x14ac:dyDescent="0.25">
      <c r="A4" s="1" t="s">
        <v>9</v>
      </c>
      <c r="B4" s="1">
        <v>2</v>
      </c>
      <c r="C4" s="1">
        <v>10</v>
      </c>
      <c r="D4" s="1">
        <v>10</v>
      </c>
      <c r="E4" s="1">
        <f>AVERAGE(B4:D4)</f>
        <v>7.333333333333333</v>
      </c>
      <c r="F4" s="1">
        <f>IF(E4&gt;8.5, 1200, IF(AND(E4&gt;=7, E4&lt;=8.5), 800, 0))</f>
        <v>800</v>
      </c>
      <c r="G4" s="1">
        <v>1244</v>
      </c>
    </row>
  </sheetData>
  <autoFilter ref="A1:G4" xr:uid="{4C2E6369-6C85-4204-A854-CF3308BEFC01}">
    <filterColumn colId="5">
      <filters>
        <filter val="8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Физика</vt:lpstr>
      <vt:lpstr>Химия</vt:lpstr>
      <vt:lpstr>Математика</vt:lpstr>
      <vt:lpstr>Сводная ведомость</vt:lpstr>
      <vt:lpstr>Бухгалтерия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2026-04-30T10:11:45Z</dcterms:modified>
</cp:coreProperties>
</file>