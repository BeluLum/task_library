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3\"/>
    </mc:Choice>
  </mc:AlternateContent>
  <xr:revisionPtr revIDLastSave="0" documentId="13_ncr:1_{27AC79F0-B598-47E0-A1EF-65A85B9B3478}" xr6:coauthVersionLast="47" xr6:coauthVersionMax="47" xr10:uidLastSave="{00000000-0000-0000-0000-000000000000}"/>
  <bookViews>
    <workbookView xWindow="2730" yWindow="2730" windowWidth="21600" windowHeight="11100" xr2:uid="{00000000-000D-0000-FFFF-FFFF00000000}"/>
  </bookViews>
  <sheets>
    <sheet name="Лист1" sheetId="1" r:id="rId1"/>
  </sheets>
  <definedNames>
    <definedName name="Курс_доллара">Лист1!$Z$1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S11" i="1"/>
  <c r="R11" i="1"/>
  <c r="Q11" i="1"/>
  <c r="P11" i="1"/>
  <c r="O11" i="1"/>
  <c r="N11" i="1"/>
  <c r="M11" i="1"/>
  <c r="L11" i="1"/>
  <c r="K11" i="1"/>
  <c r="J11" i="1"/>
  <c r="F11" i="1"/>
  <c r="S10" i="1"/>
  <c r="R10" i="1"/>
  <c r="Q10" i="1"/>
  <c r="P10" i="1"/>
  <c r="O10" i="1"/>
  <c r="N10" i="1"/>
  <c r="M10" i="1"/>
  <c r="L10" i="1"/>
  <c r="K10" i="1"/>
  <c r="J10" i="1"/>
  <c r="F10" i="1"/>
  <c r="S9" i="1"/>
  <c r="R9" i="1"/>
  <c r="Q9" i="1"/>
  <c r="P9" i="1"/>
  <c r="O9" i="1"/>
  <c r="N9" i="1"/>
  <c r="M9" i="1"/>
  <c r="L9" i="1"/>
  <c r="K9" i="1"/>
  <c r="J9" i="1"/>
  <c r="S8" i="1"/>
  <c r="R8" i="1"/>
  <c r="Q8" i="1"/>
  <c r="P8" i="1"/>
  <c r="O8" i="1"/>
  <c r="N8" i="1"/>
  <c r="M8" i="1"/>
  <c r="L8" i="1"/>
  <c r="K8" i="1"/>
  <c r="J8" i="1"/>
  <c r="S7" i="1"/>
  <c r="R7" i="1"/>
  <c r="Q7" i="1"/>
  <c r="P7" i="1"/>
  <c r="O7" i="1"/>
  <c r="N7" i="1"/>
  <c r="M7" i="1"/>
  <c r="L7" i="1"/>
  <c r="K7" i="1"/>
  <c r="J7" i="1"/>
  <c r="S6" i="1"/>
  <c r="R6" i="1"/>
  <c r="Q6" i="1"/>
  <c r="P6" i="1"/>
  <c r="O6" i="1"/>
  <c r="N6" i="1"/>
  <c r="M6" i="1"/>
  <c r="L6" i="1"/>
  <c r="K6" i="1"/>
  <c r="J6" i="1"/>
  <c r="X5" i="1"/>
  <c r="S5" i="1"/>
  <c r="R5" i="1"/>
  <c r="Q5" i="1"/>
  <c r="P5" i="1"/>
  <c r="O5" i="1"/>
  <c r="N5" i="1"/>
  <c r="M5" i="1"/>
  <c r="L5" i="1"/>
  <c r="K5" i="1"/>
  <c r="J5" i="1"/>
  <c r="X4" i="1"/>
  <c r="S4" i="1"/>
  <c r="R4" i="1"/>
  <c r="Q4" i="1"/>
  <c r="P4" i="1"/>
  <c r="O4" i="1"/>
  <c r="N4" i="1"/>
  <c r="M4" i="1"/>
  <c r="L4" i="1"/>
  <c r="K4" i="1"/>
  <c r="J4" i="1"/>
  <c r="X3" i="1"/>
  <c r="S3" i="1"/>
  <c r="R3" i="1"/>
  <c r="Q3" i="1"/>
  <c r="P3" i="1"/>
  <c r="O3" i="1"/>
  <c r="N3" i="1"/>
  <c r="M3" i="1"/>
  <c r="L3" i="1"/>
  <c r="K3" i="1"/>
  <c r="J3" i="1"/>
  <c r="X2" i="1"/>
</calcChain>
</file>

<file path=xl/sharedStrings.xml><?xml version="1.0" encoding="utf-8"?>
<sst xmlns="http://schemas.openxmlformats.org/spreadsheetml/2006/main" count="43" uniqueCount="40">
  <si>
    <t>Грузоотправитель и его адрес</t>
  </si>
  <si>
    <t>ТАБЛИЦА КВАДРАТОВ</t>
  </si>
  <si>
    <t>Наименование товара</t>
  </si>
  <si>
    <t>Эквивалент в $ US</t>
  </si>
  <si>
    <t>Цена в р.</t>
  </si>
  <si>
    <t>Грузополучатель и его адрес</t>
  </si>
  <si>
    <t xml:space="preserve">Яблоко </t>
  </si>
  <si>
    <t>К Реестру №</t>
  </si>
  <si>
    <t>Дата получения "____"_______200__г.</t>
  </si>
  <si>
    <t xml:space="preserve">Груша </t>
  </si>
  <si>
    <t>СЧЕТ № 123 от 15.11.2000</t>
  </si>
  <si>
    <t>Пицца</t>
  </si>
  <si>
    <t>Поставщик Торговый дом "Рога и Копыта"</t>
  </si>
  <si>
    <t>Пиво</t>
  </si>
  <si>
    <t>Адрес 243100, Клинцы, ул. Пушкина, 23</t>
  </si>
  <si>
    <t>Упражнение 3</t>
  </si>
  <si>
    <t>Р/счет № 45638078 в МММ-банке, МФО 985435</t>
  </si>
  <si>
    <t>Дополнение</t>
  </si>
  <si>
    <t>№</t>
  </si>
  <si>
    <t>Наименование</t>
  </si>
  <si>
    <t>Ед.измерения</t>
  </si>
  <si>
    <t>Кол-во</t>
  </si>
  <si>
    <t>Цена</t>
  </si>
  <si>
    <t>Сумма</t>
  </si>
  <si>
    <t xml:space="preserve">Молоко </t>
  </si>
  <si>
    <t>бутылок</t>
  </si>
  <si>
    <t>Батон</t>
  </si>
  <si>
    <t>буханок</t>
  </si>
  <si>
    <t>Мука</t>
  </si>
  <si>
    <t>кг</t>
  </si>
  <si>
    <t>УПРАЖНЕНИЕ 2</t>
  </si>
  <si>
    <t>Сахар</t>
  </si>
  <si>
    <t>Соль</t>
  </si>
  <si>
    <t>Сыр</t>
  </si>
  <si>
    <t>ИТОГО</t>
  </si>
  <si>
    <t>Руководитель предприятия</t>
  </si>
  <si>
    <t>Сидоркин А.Ю.</t>
  </si>
  <si>
    <t>Главный бухгалтер</t>
  </si>
  <si>
    <t>Иванова А.Н.</t>
  </si>
  <si>
    <t>УПРАЖНЕНИЕ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</si>
</sst>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_-* #,##0.00\ [$₽-419]_-;\-* #,##0.00\ [$₽-419]_-;_-* &quot;-&quot;??\ [$₽-419]_-;_-@_-"/>
    <numFmt numFmtId="166" formatCode="#,##0.00\ [$Br-423]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/>
    <xf numFmtId="164" fontId="0" fillId="0" borderId="12" xfId="0" applyNumberFormat="1" applyBorder="1"/>
    <xf numFmtId="165" fontId="0" fillId="0" borderId="12" xfId="0" applyNumberFormat="1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/>
    <xf numFmtId="166" fontId="0" fillId="0" borderId="21" xfId="0" applyNumberFormat="1" applyBorder="1"/>
    <xf numFmtId="166" fontId="0" fillId="0" borderId="22" xfId="0" applyNumberFormat="1" applyBorder="1"/>
    <xf numFmtId="0" fontId="0" fillId="0" borderId="11" xfId="0" applyBorder="1" applyAlignment="1">
      <alignment horizontal="left"/>
    </xf>
    <xf numFmtId="166" fontId="0" fillId="0" borderId="12" xfId="0" applyNumberFormat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/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495300</xdr:colOff>
      <xdr:row>14</xdr:row>
      <xdr:rowOff>147637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3E8F53-58C5-49FF-B6C9-6980AB6B9C8D}"/>
            </a:ext>
          </a:extLst>
        </xdr:cNvPr>
        <xdr:cNvSpPr txBox="1"/>
      </xdr:nvSpPr>
      <xdr:spPr>
        <a:xfrm>
          <a:off x="9953625" y="285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topLeftCell="A10" workbookViewId="0">
      <selection activeCell="J19" sqref="J19"/>
    </sheetView>
  </sheetViews>
  <sheetFormatPr defaultRowHeight="15" x14ac:dyDescent="0.25"/>
  <cols>
    <col min="1" max="1" width="3.85546875" customWidth="1"/>
    <col min="2" max="2" width="23" customWidth="1"/>
    <col min="3" max="3" width="16.5703125" customWidth="1"/>
    <col min="4" max="4" width="10.5703125" customWidth="1"/>
    <col min="5" max="5" width="11.7109375" customWidth="1"/>
    <col min="6" max="6" width="15.5703125" customWidth="1"/>
    <col min="9" max="9" width="5.7109375" customWidth="1"/>
    <col min="22" max="22" width="22" customWidth="1"/>
    <col min="23" max="23" width="17.85546875" customWidth="1"/>
    <col min="24" max="24" width="9.7109375" customWidth="1"/>
  </cols>
  <sheetData>
    <row r="1" spans="1:26" ht="15" customHeight="1" x14ac:dyDescent="0.25">
      <c r="A1" s="1" t="s">
        <v>0</v>
      </c>
      <c r="B1" s="2"/>
      <c r="C1" s="2"/>
      <c r="D1" s="3"/>
      <c r="E1" s="4"/>
      <c r="F1" s="5"/>
      <c r="G1" s="5"/>
      <c r="I1" s="6" t="s">
        <v>1</v>
      </c>
      <c r="J1" s="7"/>
      <c r="K1" s="7"/>
      <c r="L1" s="7"/>
      <c r="M1" s="7"/>
      <c r="N1" s="7"/>
      <c r="O1" s="7"/>
      <c r="P1" s="7"/>
      <c r="Q1" s="7"/>
      <c r="R1" s="7"/>
      <c r="S1" s="8"/>
      <c r="V1" s="9" t="s">
        <v>2</v>
      </c>
      <c r="W1" s="10" t="s">
        <v>3</v>
      </c>
      <c r="X1" s="10" t="s">
        <v>4</v>
      </c>
      <c r="Y1" s="4"/>
      <c r="Z1" s="5">
        <v>3.4</v>
      </c>
    </row>
    <row r="2" spans="1:26" x14ac:dyDescent="0.25">
      <c r="A2" s="11" t="s">
        <v>5</v>
      </c>
      <c r="B2" s="12"/>
      <c r="C2" s="12"/>
      <c r="F2" s="13"/>
      <c r="G2" s="13"/>
      <c r="I2" s="14"/>
      <c r="J2" s="15">
        <v>0</v>
      </c>
      <c r="K2" s="15">
        <v>1</v>
      </c>
      <c r="L2" s="15">
        <v>2</v>
      </c>
      <c r="M2" s="15">
        <v>3</v>
      </c>
      <c r="N2" s="15">
        <v>4</v>
      </c>
      <c r="O2" s="15">
        <v>5</v>
      </c>
      <c r="P2" s="15">
        <v>6</v>
      </c>
      <c r="Q2" s="15">
        <v>7</v>
      </c>
      <c r="R2" s="15">
        <v>8</v>
      </c>
      <c r="S2" s="16">
        <v>9</v>
      </c>
      <c r="V2" s="17" t="s">
        <v>6</v>
      </c>
      <c r="W2" s="18">
        <v>1</v>
      </c>
      <c r="X2" s="19">
        <f>W2*Курс_доллара</f>
        <v>3.4</v>
      </c>
      <c r="Z2" s="13"/>
    </row>
    <row r="3" spans="1:26" x14ac:dyDescent="0.25">
      <c r="A3" s="20" t="s">
        <v>7</v>
      </c>
      <c r="B3" s="21"/>
      <c r="D3" s="21" t="s">
        <v>8</v>
      </c>
      <c r="E3" s="21"/>
      <c r="F3" s="22"/>
      <c r="G3" s="13"/>
      <c r="I3" s="14">
        <v>1</v>
      </c>
      <c r="J3" s="23">
        <f>POWER($I3*10+J2,2)</f>
        <v>100</v>
      </c>
      <c r="K3" s="23">
        <f t="shared" ref="K3:S3" si="0">POWER($I3*10+K2,2)</f>
        <v>121</v>
      </c>
      <c r="L3" s="23">
        <f t="shared" si="0"/>
        <v>144</v>
      </c>
      <c r="M3" s="23">
        <f t="shared" si="0"/>
        <v>169</v>
      </c>
      <c r="N3" s="23">
        <f t="shared" si="0"/>
        <v>196</v>
      </c>
      <c r="O3" s="23">
        <f t="shared" si="0"/>
        <v>225</v>
      </c>
      <c r="P3" s="23">
        <f t="shared" si="0"/>
        <v>256</v>
      </c>
      <c r="Q3" s="23">
        <f t="shared" si="0"/>
        <v>289</v>
      </c>
      <c r="R3" s="23">
        <f t="shared" si="0"/>
        <v>324</v>
      </c>
      <c r="S3" s="24">
        <f t="shared" si="0"/>
        <v>361</v>
      </c>
      <c r="V3" s="17" t="s">
        <v>9</v>
      </c>
      <c r="W3" s="18">
        <v>2</v>
      </c>
      <c r="X3" s="19">
        <f>W3*Курс_доллара</f>
        <v>6.8</v>
      </c>
      <c r="Z3" s="13"/>
    </row>
    <row r="4" spans="1:26" x14ac:dyDescent="0.25">
      <c r="A4" s="25"/>
      <c r="C4" s="21" t="s">
        <v>10</v>
      </c>
      <c r="D4" s="21"/>
      <c r="F4" s="13"/>
      <c r="G4" s="13"/>
      <c r="I4" s="14">
        <v>2</v>
      </c>
      <c r="J4" s="23">
        <f>POWER($I4*10+J$2,2)</f>
        <v>400</v>
      </c>
      <c r="K4" s="23">
        <f t="shared" ref="K4:S4" si="1">POWER($I4*10+K$2,2)</f>
        <v>441</v>
      </c>
      <c r="L4" s="23">
        <f t="shared" si="1"/>
        <v>484</v>
      </c>
      <c r="M4" s="23">
        <f t="shared" si="1"/>
        <v>529</v>
      </c>
      <c r="N4" s="23">
        <f t="shared" si="1"/>
        <v>576</v>
      </c>
      <c r="O4" s="23">
        <f t="shared" si="1"/>
        <v>625</v>
      </c>
      <c r="P4" s="23">
        <f t="shared" si="1"/>
        <v>676</v>
      </c>
      <c r="Q4" s="23">
        <f t="shared" si="1"/>
        <v>729</v>
      </c>
      <c r="R4" s="23">
        <f t="shared" si="1"/>
        <v>784</v>
      </c>
      <c r="S4" s="24">
        <f t="shared" si="1"/>
        <v>841</v>
      </c>
      <c r="V4" s="17" t="s">
        <v>11</v>
      </c>
      <c r="W4" s="18">
        <v>3</v>
      </c>
      <c r="X4" s="19">
        <f>W4*Курс_доллара</f>
        <v>10.199999999999999</v>
      </c>
      <c r="Z4" s="13"/>
    </row>
    <row r="5" spans="1:26" x14ac:dyDescent="0.25">
      <c r="A5" s="20" t="s">
        <v>12</v>
      </c>
      <c r="B5" s="21"/>
      <c r="C5" s="21"/>
      <c r="F5" s="13"/>
      <c r="G5" s="13"/>
      <c r="I5" s="14">
        <v>3</v>
      </c>
      <c r="J5" s="23">
        <f t="shared" ref="J5:S11" si="2">POWER($I5*10+J$2,2)</f>
        <v>900</v>
      </c>
      <c r="K5" s="23">
        <f t="shared" si="2"/>
        <v>961</v>
      </c>
      <c r="L5" s="23">
        <f t="shared" si="2"/>
        <v>1024</v>
      </c>
      <c r="M5" s="23">
        <f t="shared" si="2"/>
        <v>1089</v>
      </c>
      <c r="N5" s="23">
        <f t="shared" si="2"/>
        <v>1156</v>
      </c>
      <c r="O5" s="23">
        <f t="shared" si="2"/>
        <v>1225</v>
      </c>
      <c r="P5" s="23">
        <f t="shared" si="2"/>
        <v>1296</v>
      </c>
      <c r="Q5" s="23">
        <f t="shared" si="2"/>
        <v>1369</v>
      </c>
      <c r="R5" s="23">
        <f t="shared" si="2"/>
        <v>1444</v>
      </c>
      <c r="S5" s="24">
        <f t="shared" si="2"/>
        <v>1521</v>
      </c>
      <c r="V5" s="17" t="s">
        <v>13</v>
      </c>
      <c r="W5" s="18">
        <v>4</v>
      </c>
      <c r="X5" s="19">
        <f>W5*Курс_доллара</f>
        <v>13.6</v>
      </c>
      <c r="Z5" s="13"/>
    </row>
    <row r="6" spans="1:26" ht="15.75" thickBot="1" x14ac:dyDescent="0.3">
      <c r="A6" s="20" t="s">
        <v>14</v>
      </c>
      <c r="B6" s="21"/>
      <c r="C6" s="21"/>
      <c r="F6" s="13"/>
      <c r="G6" s="13"/>
      <c r="I6" s="14">
        <v>4</v>
      </c>
      <c r="J6" s="23">
        <f t="shared" si="2"/>
        <v>1600</v>
      </c>
      <c r="K6" s="23">
        <f t="shared" si="2"/>
        <v>1681</v>
      </c>
      <c r="L6" s="23">
        <f t="shared" si="2"/>
        <v>1764</v>
      </c>
      <c r="M6" s="23">
        <f t="shared" si="2"/>
        <v>1849</v>
      </c>
      <c r="N6" s="23">
        <f t="shared" si="2"/>
        <v>1936</v>
      </c>
      <c r="O6" s="23">
        <f t="shared" si="2"/>
        <v>2025</v>
      </c>
      <c r="P6" s="23">
        <f t="shared" si="2"/>
        <v>2116</v>
      </c>
      <c r="Q6" s="23">
        <f t="shared" si="2"/>
        <v>2209</v>
      </c>
      <c r="R6" s="23">
        <f t="shared" si="2"/>
        <v>2304</v>
      </c>
      <c r="S6" s="24">
        <f t="shared" si="2"/>
        <v>2401</v>
      </c>
      <c r="V6" s="26" t="s">
        <v>15</v>
      </c>
      <c r="W6" s="27"/>
      <c r="X6" s="27"/>
      <c r="Y6" s="27"/>
      <c r="Z6" s="28"/>
    </row>
    <row r="7" spans="1:26" x14ac:dyDescent="0.25">
      <c r="A7" s="20" t="s">
        <v>16</v>
      </c>
      <c r="B7" s="21"/>
      <c r="C7" s="21"/>
      <c r="F7" s="13"/>
      <c r="G7" s="13"/>
      <c r="I7" s="14">
        <v>5</v>
      </c>
      <c r="J7" s="23">
        <f t="shared" si="2"/>
        <v>2500</v>
      </c>
      <c r="K7" s="23">
        <f t="shared" si="2"/>
        <v>2601</v>
      </c>
      <c r="L7" s="23">
        <f t="shared" si="2"/>
        <v>2704</v>
      </c>
      <c r="M7" s="23">
        <f t="shared" si="2"/>
        <v>2809</v>
      </c>
      <c r="N7" s="23">
        <f t="shared" si="2"/>
        <v>2916</v>
      </c>
      <c r="O7" s="23">
        <f t="shared" si="2"/>
        <v>3025</v>
      </c>
      <c r="P7" s="23">
        <f t="shared" si="2"/>
        <v>3136</v>
      </c>
      <c r="Q7" s="23">
        <f t="shared" si="2"/>
        <v>3249</v>
      </c>
      <c r="R7" s="23">
        <f t="shared" si="2"/>
        <v>3364</v>
      </c>
      <c r="S7" s="24">
        <f t="shared" si="2"/>
        <v>3481</v>
      </c>
    </row>
    <row r="8" spans="1:26" ht="15.75" thickBot="1" x14ac:dyDescent="0.3">
      <c r="A8" s="26" t="s">
        <v>17</v>
      </c>
      <c r="B8" s="27"/>
      <c r="F8" s="13"/>
      <c r="G8" s="13"/>
      <c r="I8" s="14">
        <v>6</v>
      </c>
      <c r="J8" s="23">
        <f t="shared" si="2"/>
        <v>3600</v>
      </c>
      <c r="K8" s="23">
        <f t="shared" si="2"/>
        <v>3721</v>
      </c>
      <c r="L8" s="23">
        <f t="shared" si="2"/>
        <v>3844</v>
      </c>
      <c r="M8" s="23">
        <f t="shared" si="2"/>
        <v>3969</v>
      </c>
      <c r="N8" s="23">
        <f t="shared" si="2"/>
        <v>4096</v>
      </c>
      <c r="O8" s="23">
        <f t="shared" si="2"/>
        <v>4225</v>
      </c>
      <c r="P8" s="23">
        <f t="shared" si="2"/>
        <v>4356</v>
      </c>
      <c r="Q8" s="23">
        <f t="shared" si="2"/>
        <v>4489</v>
      </c>
      <c r="R8" s="23">
        <f t="shared" si="2"/>
        <v>4624</v>
      </c>
      <c r="S8" s="24">
        <f t="shared" si="2"/>
        <v>4761</v>
      </c>
    </row>
    <row r="9" spans="1:26" ht="15.75" thickBot="1" x14ac:dyDescent="0.3">
      <c r="A9" s="29" t="s">
        <v>18</v>
      </c>
      <c r="B9" s="30" t="s">
        <v>19</v>
      </c>
      <c r="C9" s="30" t="s">
        <v>20</v>
      </c>
      <c r="D9" s="30" t="s">
        <v>21</v>
      </c>
      <c r="E9" s="30" t="s">
        <v>22</v>
      </c>
      <c r="F9" s="31" t="s">
        <v>23</v>
      </c>
      <c r="G9" s="13"/>
      <c r="I9" s="14">
        <v>7</v>
      </c>
      <c r="J9" s="23">
        <f t="shared" si="2"/>
        <v>4900</v>
      </c>
      <c r="K9" s="23">
        <f t="shared" si="2"/>
        <v>5041</v>
      </c>
      <c r="L9" s="23">
        <f t="shared" si="2"/>
        <v>5184</v>
      </c>
      <c r="M9" s="23">
        <f t="shared" si="2"/>
        <v>5329</v>
      </c>
      <c r="N9" s="23">
        <f t="shared" si="2"/>
        <v>5476</v>
      </c>
      <c r="O9" s="23">
        <f t="shared" si="2"/>
        <v>5625</v>
      </c>
      <c r="P9" s="23">
        <f t="shared" si="2"/>
        <v>5776</v>
      </c>
      <c r="Q9" s="23">
        <f t="shared" si="2"/>
        <v>5929</v>
      </c>
      <c r="R9" s="23">
        <f t="shared" si="2"/>
        <v>6084</v>
      </c>
      <c r="S9" s="24">
        <f t="shared" si="2"/>
        <v>6241</v>
      </c>
    </row>
    <row r="10" spans="1:26" x14ac:dyDescent="0.25">
      <c r="A10" s="32">
        <v>1</v>
      </c>
      <c r="B10" s="33" t="s">
        <v>24</v>
      </c>
      <c r="C10" s="33" t="s">
        <v>25</v>
      </c>
      <c r="D10" s="33">
        <v>10</v>
      </c>
      <c r="E10" s="34">
        <v>1.8</v>
      </c>
      <c r="F10" s="35">
        <f t="shared" ref="F10:F15" si="3">E10*D10</f>
        <v>18</v>
      </c>
      <c r="G10" s="13"/>
      <c r="I10" s="14">
        <v>8</v>
      </c>
      <c r="J10" s="23">
        <f t="shared" si="2"/>
        <v>6400</v>
      </c>
      <c r="K10" s="23">
        <f t="shared" si="2"/>
        <v>6561</v>
      </c>
      <c r="L10" s="23">
        <f t="shared" si="2"/>
        <v>6724</v>
      </c>
      <c r="M10" s="23">
        <f t="shared" si="2"/>
        <v>6889</v>
      </c>
      <c r="N10" s="23">
        <f t="shared" si="2"/>
        <v>7056</v>
      </c>
      <c r="O10" s="23">
        <f t="shared" si="2"/>
        <v>7225</v>
      </c>
      <c r="P10" s="23">
        <f t="shared" si="2"/>
        <v>7396</v>
      </c>
      <c r="Q10" s="23">
        <f t="shared" si="2"/>
        <v>7569</v>
      </c>
      <c r="R10" s="23">
        <f t="shared" si="2"/>
        <v>7744</v>
      </c>
      <c r="S10" s="24">
        <f t="shared" si="2"/>
        <v>7921</v>
      </c>
    </row>
    <row r="11" spans="1:26" x14ac:dyDescent="0.25">
      <c r="A11" s="36">
        <v>2</v>
      </c>
      <c r="B11" s="23" t="s">
        <v>26</v>
      </c>
      <c r="C11" s="23" t="s">
        <v>27</v>
      </c>
      <c r="D11" s="23">
        <v>15</v>
      </c>
      <c r="E11" s="37">
        <v>1.6</v>
      </c>
      <c r="F11" s="35">
        <f t="shared" si="3"/>
        <v>24</v>
      </c>
      <c r="G11" s="13"/>
      <c r="I11" s="14">
        <v>9</v>
      </c>
      <c r="J11" s="23">
        <f t="shared" si="2"/>
        <v>8100</v>
      </c>
      <c r="K11" s="23">
        <f t="shared" si="2"/>
        <v>8281</v>
      </c>
      <c r="L11" s="23">
        <f t="shared" si="2"/>
        <v>8464</v>
      </c>
      <c r="M11" s="23">
        <f t="shared" si="2"/>
        <v>8649</v>
      </c>
      <c r="N11" s="23">
        <f t="shared" si="2"/>
        <v>8836</v>
      </c>
      <c r="O11" s="23">
        <f t="shared" si="2"/>
        <v>9025</v>
      </c>
      <c r="P11" s="23">
        <f t="shared" si="2"/>
        <v>9216</v>
      </c>
      <c r="Q11" s="23">
        <f t="shared" si="2"/>
        <v>9409</v>
      </c>
      <c r="R11" s="23">
        <f t="shared" si="2"/>
        <v>9604</v>
      </c>
      <c r="S11" s="24">
        <f t="shared" si="2"/>
        <v>9801</v>
      </c>
    </row>
    <row r="12" spans="1:26" x14ac:dyDescent="0.25">
      <c r="A12" s="36">
        <v>6</v>
      </c>
      <c r="B12" s="23" t="s">
        <v>28</v>
      </c>
      <c r="C12" s="23" t="s">
        <v>29</v>
      </c>
      <c r="D12" s="23">
        <v>15</v>
      </c>
      <c r="E12" s="37">
        <v>2.2999999999999998</v>
      </c>
      <c r="F12" s="35">
        <f t="shared" si="3"/>
        <v>34.5</v>
      </c>
      <c r="G12" s="13"/>
      <c r="I12" s="38" t="s">
        <v>30</v>
      </c>
      <c r="J12" s="39"/>
      <c r="K12" s="39"/>
      <c r="L12" s="39"/>
      <c r="M12" s="39"/>
      <c r="N12" s="39"/>
      <c r="O12" s="39"/>
      <c r="P12" s="39"/>
      <c r="Q12" s="39"/>
      <c r="R12" s="39"/>
      <c r="S12" s="40"/>
    </row>
    <row r="13" spans="1:26" ht="15.75" thickBot="1" x14ac:dyDescent="0.3">
      <c r="A13" s="36">
        <v>4</v>
      </c>
      <c r="B13" s="23" t="s">
        <v>31</v>
      </c>
      <c r="C13" s="23" t="s">
        <v>29</v>
      </c>
      <c r="D13" s="23">
        <v>15</v>
      </c>
      <c r="E13" s="37">
        <v>1.2</v>
      </c>
      <c r="F13" s="35">
        <f t="shared" si="3"/>
        <v>18</v>
      </c>
      <c r="G13" s="13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3"/>
    </row>
    <row r="14" spans="1:26" x14ac:dyDescent="0.25">
      <c r="A14" s="36">
        <v>5</v>
      </c>
      <c r="B14" s="23" t="s">
        <v>32</v>
      </c>
      <c r="C14" s="23" t="s">
        <v>29</v>
      </c>
      <c r="D14" s="23">
        <v>15</v>
      </c>
      <c r="E14" s="37">
        <v>2</v>
      </c>
      <c r="F14" s="35">
        <f t="shared" si="3"/>
        <v>30</v>
      </c>
      <c r="G14" s="13"/>
    </row>
    <row r="15" spans="1:26" x14ac:dyDescent="0.25">
      <c r="A15" s="36">
        <v>3</v>
      </c>
      <c r="B15" s="23" t="s">
        <v>33</v>
      </c>
      <c r="C15" s="23" t="s">
        <v>29</v>
      </c>
      <c r="D15" s="23">
        <v>10</v>
      </c>
      <c r="E15" s="37">
        <v>20</v>
      </c>
      <c r="F15" s="35">
        <f t="shared" si="3"/>
        <v>200</v>
      </c>
      <c r="G15" s="13"/>
    </row>
    <row r="16" spans="1:26" ht="15.75" thickBot="1" x14ac:dyDescent="0.3">
      <c r="A16" s="44" t="s">
        <v>34</v>
      </c>
      <c r="B16" s="45"/>
      <c r="C16" s="45"/>
      <c r="D16" s="45"/>
      <c r="E16" s="46"/>
      <c r="F16" s="47"/>
      <c r="G16" s="13"/>
    </row>
    <row r="17" spans="1:7" x14ac:dyDescent="0.25">
      <c r="A17" s="25"/>
      <c r="F17" s="13"/>
      <c r="G17" s="13"/>
    </row>
    <row r="18" spans="1:7" x14ac:dyDescent="0.25">
      <c r="A18" s="48" t="s">
        <v>35</v>
      </c>
      <c r="B18" s="49"/>
      <c r="F18" s="13" t="s">
        <v>36</v>
      </c>
      <c r="G18" s="13"/>
    </row>
    <row r="19" spans="1:7" x14ac:dyDescent="0.25">
      <c r="A19" s="25"/>
      <c r="F19" s="13"/>
      <c r="G19" s="13"/>
    </row>
    <row r="20" spans="1:7" ht="15.75" thickBot="1" x14ac:dyDescent="0.3">
      <c r="A20" s="50" t="s">
        <v>37</v>
      </c>
      <c r="B20" s="51"/>
      <c r="C20" s="52"/>
      <c r="D20" s="52"/>
      <c r="E20" s="52"/>
      <c r="F20" s="53" t="s">
        <v>38</v>
      </c>
      <c r="G20" s="13"/>
    </row>
    <row r="21" spans="1:7" x14ac:dyDescent="0.25">
      <c r="A21" s="54" t="s">
        <v>39</v>
      </c>
      <c r="B21" s="21"/>
      <c r="C21" s="21"/>
      <c r="D21" s="21"/>
      <c r="E21" s="21"/>
      <c r="F21" s="21"/>
      <c r="G21" s="22"/>
    </row>
    <row r="22" spans="1:7" ht="15.75" thickBot="1" x14ac:dyDescent="0.3">
      <c r="A22" s="26"/>
      <c r="B22" s="27"/>
      <c r="C22" s="27"/>
      <c r="D22" s="27"/>
      <c r="E22" s="27"/>
      <c r="F22" s="27"/>
      <c r="G22" s="28"/>
    </row>
  </sheetData>
  <mergeCells count="16">
    <mergeCell ref="A16:E16"/>
    <mergeCell ref="A18:B18"/>
    <mergeCell ref="A20:B20"/>
    <mergeCell ref="A21:G22"/>
    <mergeCell ref="A5:C5"/>
    <mergeCell ref="A6:C6"/>
    <mergeCell ref="V6:Z6"/>
    <mergeCell ref="A7:C7"/>
    <mergeCell ref="A8:B8"/>
    <mergeCell ref="I12:S13"/>
    <mergeCell ref="A1:C1"/>
    <mergeCell ref="I1:S1"/>
    <mergeCell ref="A2:C2"/>
    <mergeCell ref="A3:B3"/>
    <mergeCell ref="D3:F3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Курс_доллара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2026-04-11T08:09:59Z</dcterms:modified>
</cp:coreProperties>
</file>