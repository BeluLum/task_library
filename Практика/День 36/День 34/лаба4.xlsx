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4\"/>
    </mc:Choice>
  </mc:AlternateContent>
  <xr:revisionPtr revIDLastSave="0" documentId="13_ncr:1_{B110AFF6-B52F-4B06-82D5-6272319978FC}" xr6:coauthVersionLast="47" xr6:coauthVersionMax="47" xr10:uidLastSave="{00000000-0000-0000-0000-000000000000}"/>
  <bookViews>
    <workbookView xWindow="3915" yWindow="4530" windowWidth="21600" windowHeight="11100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1" l="1"/>
  <c r="K31" i="1"/>
  <c r="J31" i="1"/>
  <c r="I31" i="1"/>
  <c r="H31" i="1"/>
  <c r="G31" i="1"/>
  <c r="F31" i="1"/>
  <c r="E31" i="1"/>
  <c r="D31" i="1"/>
  <c r="C31" i="1"/>
  <c r="B31" i="1"/>
  <c r="L30" i="1"/>
  <c r="K30" i="1"/>
  <c r="J30" i="1"/>
  <c r="I30" i="1"/>
  <c r="H30" i="1"/>
  <c r="G30" i="1"/>
  <c r="F30" i="1"/>
  <c r="E30" i="1"/>
  <c r="D30" i="1"/>
  <c r="C30" i="1"/>
  <c r="B30" i="1"/>
  <c r="L29" i="1"/>
  <c r="K29" i="1"/>
  <c r="J29" i="1"/>
  <c r="I29" i="1"/>
  <c r="H29" i="1"/>
  <c r="G29" i="1"/>
  <c r="F29" i="1"/>
  <c r="E29" i="1"/>
  <c r="D29" i="1"/>
  <c r="C29" i="1"/>
  <c r="B29" i="1"/>
  <c r="L28" i="1"/>
  <c r="K28" i="1"/>
  <c r="J28" i="1"/>
  <c r="I28" i="1"/>
  <c r="H28" i="1"/>
  <c r="G28" i="1"/>
  <c r="F28" i="1"/>
  <c r="E28" i="1"/>
  <c r="D28" i="1"/>
  <c r="C28" i="1"/>
  <c r="B28" i="1"/>
  <c r="L27" i="1"/>
  <c r="K27" i="1"/>
  <c r="J27" i="1"/>
  <c r="I27" i="1"/>
  <c r="H27" i="1"/>
  <c r="G27" i="1"/>
  <c r="F27" i="1"/>
  <c r="E27" i="1"/>
  <c r="D27" i="1"/>
  <c r="C27" i="1"/>
  <c r="B27" i="1"/>
  <c r="L26" i="1"/>
  <c r="K26" i="1"/>
  <c r="J26" i="1"/>
  <c r="I26" i="1"/>
  <c r="H26" i="1"/>
  <c r="G26" i="1"/>
  <c r="F26" i="1"/>
  <c r="E26" i="1"/>
  <c r="D26" i="1"/>
  <c r="C26" i="1"/>
  <c r="B26" i="1"/>
  <c r="L25" i="1"/>
  <c r="K25" i="1"/>
  <c r="J25" i="1"/>
  <c r="I25" i="1"/>
  <c r="H25" i="1"/>
  <c r="G25" i="1"/>
  <c r="F25" i="1"/>
  <c r="E25" i="1"/>
  <c r="D25" i="1"/>
  <c r="C25" i="1"/>
  <c r="B25" i="1"/>
  <c r="L24" i="1"/>
  <c r="K24" i="1"/>
  <c r="J24" i="1"/>
  <c r="I24" i="1"/>
  <c r="H24" i="1"/>
  <c r="G24" i="1"/>
  <c r="F24" i="1"/>
  <c r="E24" i="1"/>
  <c r="D24" i="1"/>
  <c r="C24" i="1"/>
  <c r="B24" i="1"/>
  <c r="L23" i="1"/>
  <c r="K23" i="1"/>
  <c r="J23" i="1"/>
  <c r="I23" i="1"/>
  <c r="H23" i="1"/>
  <c r="G23" i="1"/>
  <c r="F23" i="1"/>
  <c r="E23" i="1"/>
  <c r="D23" i="1"/>
  <c r="C23" i="1"/>
  <c r="B23" i="1"/>
  <c r="L22" i="1"/>
  <c r="K22" i="1"/>
  <c r="J22" i="1"/>
  <c r="I22" i="1"/>
  <c r="H22" i="1"/>
  <c r="G22" i="1"/>
  <c r="F22" i="1"/>
  <c r="E22" i="1"/>
  <c r="D22" i="1"/>
  <c r="C22" i="1"/>
  <c r="B22" i="1"/>
  <c r="L21" i="1"/>
  <c r="K21" i="1"/>
  <c r="J21" i="1"/>
  <c r="I21" i="1"/>
  <c r="H21" i="1"/>
  <c r="G21" i="1"/>
  <c r="F21" i="1"/>
  <c r="E21" i="1"/>
  <c r="D21" i="1"/>
  <c r="C21" i="1"/>
  <c r="B21" i="1"/>
  <c r="E3" i="1"/>
  <c r="E4" i="1" s="1"/>
  <c r="E5" i="1" s="1"/>
  <c r="E6" i="1" s="1"/>
  <c r="E7" i="1" s="1"/>
  <c r="E8" i="1" s="1"/>
  <c r="E9" i="1" s="1"/>
  <c r="E10" i="1" s="1"/>
  <c r="E11" i="1" s="1"/>
  <c r="E12" i="1" s="1"/>
</calcChain>
</file>

<file path=xl/sharedStrings.xml><?xml version="1.0" encoding="utf-8"?>
<sst xmlns="http://schemas.openxmlformats.org/spreadsheetml/2006/main" count="11" uniqueCount="10">
  <si>
    <t xml:space="preserve">Исходные данные </t>
  </si>
  <si>
    <t>Эксперимент</t>
  </si>
  <si>
    <t>Температура</t>
  </si>
  <si>
    <t>№</t>
  </si>
  <si>
    <r>
      <t>Y</t>
    </r>
    <r>
      <rPr>
        <sz val="8"/>
        <color theme="1"/>
        <rFont val="Calibri"/>
        <family val="2"/>
        <charset val="204"/>
        <scheme val="minor"/>
      </rPr>
      <t>экспер</t>
    </r>
  </si>
  <si>
    <r>
      <t>Y</t>
    </r>
    <r>
      <rPr>
        <sz val="8"/>
        <color theme="1"/>
        <rFont val="Calibri"/>
        <family val="2"/>
        <charset val="204"/>
        <scheme val="minor"/>
      </rPr>
      <t>расчет</t>
    </r>
  </si>
  <si>
    <t>Шаг</t>
  </si>
  <si>
    <t>Упраженение 1</t>
  </si>
  <si>
    <t>X/Y</t>
  </si>
  <si>
    <t>Упражнение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</si>
</sst>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1" xfId="0" applyBorder="1"/>
    <xf numFmtId="0" fontId="0" fillId="0" borderId="22" xfId="0" applyBorder="1"/>
    <xf numFmtId="0" fontId="0" fillId="0" borderId="24" xfId="0" applyBorder="1"/>
    <xf numFmtId="2" fontId="0" fillId="0" borderId="0" xfId="0" applyNumberFormat="1"/>
    <xf numFmtId="2" fontId="0" fillId="0" borderId="7" xfId="0" applyNumberFormat="1" applyBorder="1"/>
    <xf numFmtId="0" fontId="0" fillId="0" borderId="25" xfId="0" applyBorder="1"/>
    <xf numFmtId="2" fontId="0" fillId="0" borderId="26" xfId="0" applyNumberFormat="1" applyBorder="1"/>
    <xf numFmtId="2" fontId="0" fillId="0" borderId="9" xfId="0" applyNumberFormat="1" applyBorder="1"/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 f(x)</a:t>
            </a:r>
            <a:endParaRPr lang="ru-RU"/>
          </a:p>
        </c:rich>
      </c:tx>
      <c:layout>
        <c:manualLayout>
          <c:xMode val="edge"/>
          <c:yMode val="edge"/>
          <c:x val="5.3076334208223996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0.17171296296296296"/>
          <c:w val="0.8023729221347331"/>
          <c:h val="0.52549394867308252"/>
        </c:manualLayout>
      </c:layout>
      <c:scatterChart>
        <c:scatterStyle val="lineMarker"/>
        <c:varyColors val="0"/>
        <c:ser>
          <c:idx val="0"/>
          <c:order val="0"/>
          <c:tx>
            <c:strRef>
              <c:f>[1]Лист1!$F$2</c:f>
              <c:strCache>
                <c:ptCount val="1"/>
                <c:pt idx="0">
                  <c:v>Yэкспер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trendline>
            <c:name>Полиноминальный(Yэкспер)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2575284339457566"/>
                  <c:y val="-0.526855861767279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[1]Лист1!$E$3:$E$12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[1]Лист1!$F$3:$F$12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7</c:v>
                </c:pt>
                <c:pt idx="8">
                  <c:v>4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E4-41BD-A43F-B501A24CC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15727"/>
        <c:axId val="134515311"/>
      </c:scatterChart>
      <c:valAx>
        <c:axId val="13451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  <a:p>
                <a:pPr>
                  <a:defRPr/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515311"/>
        <c:crosses val="autoZero"/>
        <c:crossBetween val="midCat"/>
      </c:valAx>
      <c:valAx>
        <c:axId val="13451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51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574556491842471"/>
          <c:y val="1.2071303587051621E-2"/>
          <c:w val="0.36425437445319331"/>
          <c:h val="0.163197725284339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856714785651793E-2"/>
          <c:y val="0.17811388159813357"/>
          <c:w val="0.81573140857392823"/>
          <c:h val="0.6714577865266842"/>
        </c:manualLayout>
      </c:layout>
      <c:surface3DChart>
        <c:wireframe val="1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val>
            <c:numRef>
              <c:f>[1]Лист1!$A$20:$L$20</c:f>
              <c:numCache>
                <c:formatCode>General</c:formatCode>
                <c:ptCount val="12"/>
                <c:pt idx="0">
                  <c:v>0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A-4123-8906-9A953B27ADCA}"/>
            </c:ext>
          </c:extLst>
        </c:ser>
        <c:ser>
          <c:idx val="1"/>
          <c:order val="1"/>
          <c:spPr>
            <a:ln w="9525" cap="rnd">
              <a:solidFill>
                <a:schemeClr val="accent2"/>
              </a:solidFill>
              <a:round/>
            </a:ln>
            <a:effectLst/>
          </c:spPr>
          <c:val>
            <c:numRef>
              <c:f>[1]Лист1!$A$21:$L$21</c:f>
              <c:numCache>
                <c:formatCode>General</c:formatCode>
                <c:ptCount val="12"/>
                <c:pt idx="0">
                  <c:v>-5</c:v>
                </c:pt>
                <c:pt idx="1">
                  <c:v>99.867648249902231</c:v>
                </c:pt>
                <c:pt idx="2">
                  <c:v>83.867648249902231</c:v>
                </c:pt>
                <c:pt idx="3">
                  <c:v>65.867648249902231</c:v>
                </c:pt>
                <c:pt idx="4">
                  <c:v>45.867648249902224</c:v>
                </c:pt>
                <c:pt idx="5">
                  <c:v>23.867648249902228</c:v>
                </c:pt>
                <c:pt idx="6">
                  <c:v>-0.13235175009777303</c:v>
                </c:pt>
                <c:pt idx="7">
                  <c:v>-26.132351750097772</c:v>
                </c:pt>
                <c:pt idx="8">
                  <c:v>-54.132351750097776</c:v>
                </c:pt>
                <c:pt idx="9">
                  <c:v>-84.132351750097769</c:v>
                </c:pt>
                <c:pt idx="10">
                  <c:v>-116.13235175009777</c:v>
                </c:pt>
                <c:pt idx="11">
                  <c:v>-150.13235175009777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6A-4123-8906-9A953B27ADCA}"/>
            </c:ext>
          </c:extLst>
        </c:ser>
        <c:ser>
          <c:idx val="2"/>
          <c:order val="2"/>
          <c:spPr>
            <a:ln w="9525" cap="rnd">
              <a:solidFill>
                <a:schemeClr val="accent3"/>
              </a:solidFill>
              <a:round/>
            </a:ln>
            <a:effectLst/>
          </c:spPr>
          <c:val>
            <c:numRef>
              <c:f>[1]Лист1!$A$22:$L$22</c:f>
              <c:numCache>
                <c:formatCode>General</c:formatCode>
                <c:ptCount val="12"/>
                <c:pt idx="0">
                  <c:v>-4</c:v>
                </c:pt>
                <c:pt idx="1">
                  <c:v>74.712096683334934</c:v>
                </c:pt>
                <c:pt idx="2">
                  <c:v>63.712096683334934</c:v>
                </c:pt>
                <c:pt idx="3">
                  <c:v>50.712096683334934</c:v>
                </c:pt>
                <c:pt idx="4">
                  <c:v>35.712096683334934</c:v>
                </c:pt>
                <c:pt idx="5">
                  <c:v>18.712096683334934</c:v>
                </c:pt>
                <c:pt idx="6">
                  <c:v>-0.2879033166650653</c:v>
                </c:pt>
                <c:pt idx="7">
                  <c:v>-21.287903316665066</c:v>
                </c:pt>
                <c:pt idx="8">
                  <c:v>-44.287903316665066</c:v>
                </c:pt>
                <c:pt idx="9">
                  <c:v>-69.287903316665066</c:v>
                </c:pt>
                <c:pt idx="10">
                  <c:v>-96.287903316665066</c:v>
                </c:pt>
                <c:pt idx="11">
                  <c:v>-125.28790331666507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6A-4123-8906-9A953B27ADCA}"/>
            </c:ext>
          </c:extLst>
        </c:ser>
        <c:ser>
          <c:idx val="3"/>
          <c:order val="3"/>
          <c:spPr>
            <a:ln w="9525" cap="rnd">
              <a:solidFill>
                <a:schemeClr val="accent4"/>
              </a:solidFill>
              <a:round/>
            </a:ln>
            <a:effectLst/>
          </c:spPr>
          <c:val>
            <c:numRef>
              <c:f>[1]Лист1!$A$23:$L$23</c:f>
              <c:numCache>
                <c:formatCode>General</c:formatCode>
                <c:ptCount val="12"/>
                <c:pt idx="0">
                  <c:v>-3</c:v>
                </c:pt>
                <c:pt idx="1">
                  <c:v>50.412118485241756</c:v>
                </c:pt>
                <c:pt idx="2">
                  <c:v>44.412118485241756</c:v>
                </c:pt>
                <c:pt idx="3">
                  <c:v>36.412118485241756</c:v>
                </c:pt>
                <c:pt idx="4">
                  <c:v>26.412118485241756</c:v>
                </c:pt>
                <c:pt idx="5">
                  <c:v>14.412118485241756</c:v>
                </c:pt>
                <c:pt idx="6">
                  <c:v>0.41211848524175659</c:v>
                </c:pt>
                <c:pt idx="7">
                  <c:v>-15.587881514758244</c:v>
                </c:pt>
                <c:pt idx="8">
                  <c:v>-33.587881514758244</c:v>
                </c:pt>
                <c:pt idx="9">
                  <c:v>-53.587881514758244</c:v>
                </c:pt>
                <c:pt idx="10">
                  <c:v>-75.587881514758237</c:v>
                </c:pt>
                <c:pt idx="11">
                  <c:v>-99.587881514758237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6A-4123-8906-9A953B27ADCA}"/>
            </c:ext>
          </c:extLst>
        </c:ser>
        <c:ser>
          <c:idx val="4"/>
          <c:order val="4"/>
          <c:spPr>
            <a:ln w="9525" cap="rnd">
              <a:solidFill>
                <a:schemeClr val="accent5"/>
              </a:solidFill>
              <a:round/>
            </a:ln>
            <a:effectLst/>
          </c:spPr>
          <c:val>
            <c:numRef>
              <c:f>[1]Лист1!$A$24:$L$24</c:f>
              <c:numCache>
                <c:formatCode>General</c:formatCode>
                <c:ptCount val="12"/>
                <c:pt idx="0">
                  <c:v>-2</c:v>
                </c:pt>
                <c:pt idx="1">
                  <c:v>24.243197504692073</c:v>
                </c:pt>
                <c:pt idx="2">
                  <c:v>23.243197504692073</c:v>
                </c:pt>
                <c:pt idx="3">
                  <c:v>20.24319750469207</c:v>
                </c:pt>
                <c:pt idx="4">
                  <c:v>15.243197504692072</c:v>
                </c:pt>
                <c:pt idx="5">
                  <c:v>8.2431975046920716</c:v>
                </c:pt>
                <c:pt idx="6">
                  <c:v>-0.7568024953079282</c:v>
                </c:pt>
                <c:pt idx="7">
                  <c:v>-11.756802495307928</c:v>
                </c:pt>
                <c:pt idx="8">
                  <c:v>-24.75680249530793</c:v>
                </c:pt>
                <c:pt idx="9">
                  <c:v>-39.75680249530793</c:v>
                </c:pt>
                <c:pt idx="10">
                  <c:v>-56.756802495307923</c:v>
                </c:pt>
                <c:pt idx="11">
                  <c:v>-75.756802495307923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6A-4123-8906-9A953B27ADCA}"/>
            </c:ext>
          </c:extLst>
        </c:ser>
        <c:ser>
          <c:idx val="5"/>
          <c:order val="5"/>
          <c:spPr>
            <a:ln w="9525" cap="rnd">
              <a:solidFill>
                <a:schemeClr val="accent6"/>
              </a:solidFill>
              <a:round/>
            </a:ln>
            <a:effectLst/>
          </c:spPr>
          <c:val>
            <c:numRef>
              <c:f>[1]Лист1!$A$25:$L$25</c:f>
              <c:numCache>
                <c:formatCode>General</c:formatCode>
                <c:ptCount val="12"/>
                <c:pt idx="0">
                  <c:v>-1</c:v>
                </c:pt>
                <c:pt idx="1">
                  <c:v>0.84147098480789495</c:v>
                </c:pt>
                <c:pt idx="2">
                  <c:v>4.8414709848078967</c:v>
                </c:pt>
                <c:pt idx="3">
                  <c:v>6.8414709848078967</c:v>
                </c:pt>
                <c:pt idx="4">
                  <c:v>6.8414709848078967</c:v>
                </c:pt>
                <c:pt idx="5">
                  <c:v>4.8414709848078967</c:v>
                </c:pt>
                <c:pt idx="6">
                  <c:v>0.8414709848078965</c:v>
                </c:pt>
                <c:pt idx="7">
                  <c:v>-5.1585290151921033</c:v>
                </c:pt>
                <c:pt idx="8">
                  <c:v>-13.158529015192103</c:v>
                </c:pt>
                <c:pt idx="9">
                  <c:v>-23.158529015192101</c:v>
                </c:pt>
                <c:pt idx="10">
                  <c:v>-35.158529015192101</c:v>
                </c:pt>
                <c:pt idx="11">
                  <c:v>-49.158529015192101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6A-4123-8906-9A953B27ADCA}"/>
            </c:ext>
          </c:extLst>
        </c:ser>
        <c:ser>
          <c:idx val="6"/>
          <c:order val="6"/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val>
            <c:numRef>
              <c:f>[1]Лист1!$A$26:$L$26</c:f>
              <c:numCache>
                <c:formatCode>General</c:formatCode>
                <c:ptCount val="12"/>
                <c:pt idx="0">
                  <c:v>0</c:v>
                </c:pt>
                <c:pt idx="1">
                  <c:v>-25</c:v>
                </c:pt>
                <c:pt idx="2">
                  <c:v>-16</c:v>
                </c:pt>
                <c:pt idx="3">
                  <c:v>-9</c:v>
                </c:pt>
                <c:pt idx="4">
                  <c:v>-4</c:v>
                </c:pt>
                <c:pt idx="5">
                  <c:v>-1</c:v>
                </c:pt>
                <c:pt idx="6">
                  <c:v>0</c:v>
                </c:pt>
                <c:pt idx="7">
                  <c:v>-1</c:v>
                </c:pt>
                <c:pt idx="8">
                  <c:v>-4</c:v>
                </c:pt>
                <c:pt idx="9">
                  <c:v>-9</c:v>
                </c:pt>
                <c:pt idx="10">
                  <c:v>-16</c:v>
                </c:pt>
                <c:pt idx="11">
                  <c:v>-25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6A-4123-8906-9A953B27ADCA}"/>
            </c:ext>
          </c:extLst>
        </c:ser>
        <c:ser>
          <c:idx val="7"/>
          <c:order val="7"/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val>
            <c:numRef>
              <c:f>[1]Лист1!$A$27:$L$27</c:f>
              <c:numCache>
                <c:formatCode>General</c:formatCode>
                <c:ptCount val="12"/>
                <c:pt idx="0">
                  <c:v>1</c:v>
                </c:pt>
                <c:pt idx="1">
                  <c:v>-49.158529015192101</c:v>
                </c:pt>
                <c:pt idx="2">
                  <c:v>-35.158529015192101</c:v>
                </c:pt>
                <c:pt idx="3">
                  <c:v>-23.158529015192101</c:v>
                </c:pt>
                <c:pt idx="4">
                  <c:v>-13.158529015192103</c:v>
                </c:pt>
                <c:pt idx="5">
                  <c:v>-5.1585290151921033</c:v>
                </c:pt>
                <c:pt idx="6">
                  <c:v>0.8414709848078965</c:v>
                </c:pt>
                <c:pt idx="7">
                  <c:v>4.8414709848078967</c:v>
                </c:pt>
                <c:pt idx="8">
                  <c:v>6.8414709848078967</c:v>
                </c:pt>
                <c:pt idx="9">
                  <c:v>6.8414709848078967</c:v>
                </c:pt>
                <c:pt idx="10">
                  <c:v>4.8414709848078967</c:v>
                </c:pt>
                <c:pt idx="11">
                  <c:v>0.84147098480789495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6A-4123-8906-9A953B27ADCA}"/>
            </c:ext>
          </c:extLst>
        </c:ser>
        <c:ser>
          <c:idx val="8"/>
          <c:order val="8"/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val>
            <c:numRef>
              <c:f>[1]Лист1!$A$28:$L$28</c:f>
              <c:numCache>
                <c:formatCode>General</c:formatCode>
                <c:ptCount val="12"/>
                <c:pt idx="0">
                  <c:v>2</c:v>
                </c:pt>
                <c:pt idx="1">
                  <c:v>-75.756802495307923</c:v>
                </c:pt>
                <c:pt idx="2">
                  <c:v>-56.756802495307923</c:v>
                </c:pt>
                <c:pt idx="3">
                  <c:v>-39.75680249530793</c:v>
                </c:pt>
                <c:pt idx="4">
                  <c:v>-24.75680249530793</c:v>
                </c:pt>
                <c:pt idx="5">
                  <c:v>-11.756802495307928</c:v>
                </c:pt>
                <c:pt idx="6">
                  <c:v>-0.7568024953079282</c:v>
                </c:pt>
                <c:pt idx="7">
                  <c:v>8.2431975046920716</c:v>
                </c:pt>
                <c:pt idx="8">
                  <c:v>15.243197504692072</c:v>
                </c:pt>
                <c:pt idx="9">
                  <c:v>20.24319750469207</c:v>
                </c:pt>
                <c:pt idx="10">
                  <c:v>23.243197504692073</c:v>
                </c:pt>
                <c:pt idx="11">
                  <c:v>24.243197504692073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6A-4123-8906-9A953B27ADCA}"/>
            </c:ext>
          </c:extLst>
        </c:ser>
        <c:ser>
          <c:idx val="9"/>
          <c:order val="9"/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val>
            <c:numRef>
              <c:f>[1]Лист1!$A$29:$L$29</c:f>
              <c:numCache>
                <c:formatCode>General</c:formatCode>
                <c:ptCount val="12"/>
                <c:pt idx="0">
                  <c:v>3</c:v>
                </c:pt>
                <c:pt idx="1">
                  <c:v>-99.587881514758237</c:v>
                </c:pt>
                <c:pt idx="2">
                  <c:v>-75.587881514758237</c:v>
                </c:pt>
                <c:pt idx="3">
                  <c:v>-53.587881514758244</c:v>
                </c:pt>
                <c:pt idx="4">
                  <c:v>-33.587881514758244</c:v>
                </c:pt>
                <c:pt idx="5">
                  <c:v>-15.587881514758244</c:v>
                </c:pt>
                <c:pt idx="6">
                  <c:v>0.41211848524175659</c:v>
                </c:pt>
                <c:pt idx="7">
                  <c:v>14.412118485241756</c:v>
                </c:pt>
                <c:pt idx="8">
                  <c:v>26.412118485241756</c:v>
                </c:pt>
                <c:pt idx="9">
                  <c:v>36.412118485241756</c:v>
                </c:pt>
                <c:pt idx="10">
                  <c:v>44.412118485241756</c:v>
                </c:pt>
                <c:pt idx="11">
                  <c:v>50.412118485241756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96A-4123-8906-9A953B27ADCA}"/>
            </c:ext>
          </c:extLst>
        </c:ser>
        <c:ser>
          <c:idx val="10"/>
          <c:order val="10"/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val>
            <c:numRef>
              <c:f>[1]Лист1!$A$30:$L$30</c:f>
              <c:numCache>
                <c:formatCode>General</c:formatCode>
                <c:ptCount val="12"/>
                <c:pt idx="0">
                  <c:v>4</c:v>
                </c:pt>
                <c:pt idx="1">
                  <c:v>-125.28790331666507</c:v>
                </c:pt>
                <c:pt idx="2">
                  <c:v>-96.287903316665066</c:v>
                </c:pt>
                <c:pt idx="3">
                  <c:v>-69.287903316665066</c:v>
                </c:pt>
                <c:pt idx="4">
                  <c:v>-44.287903316665066</c:v>
                </c:pt>
                <c:pt idx="5">
                  <c:v>-21.287903316665066</c:v>
                </c:pt>
                <c:pt idx="6">
                  <c:v>-0.2879033166650653</c:v>
                </c:pt>
                <c:pt idx="7">
                  <c:v>18.712096683334934</c:v>
                </c:pt>
                <c:pt idx="8">
                  <c:v>35.712096683334934</c:v>
                </c:pt>
                <c:pt idx="9">
                  <c:v>50.712096683334934</c:v>
                </c:pt>
                <c:pt idx="10">
                  <c:v>63.712096683334934</c:v>
                </c:pt>
                <c:pt idx="11">
                  <c:v>74.712096683334934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6A-4123-8906-9A953B27ADCA}"/>
            </c:ext>
          </c:extLst>
        </c:ser>
        <c:ser>
          <c:idx val="11"/>
          <c:order val="11"/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val>
            <c:numRef>
              <c:f>[1]Лист1!$A$31:$L$31</c:f>
              <c:numCache>
                <c:formatCode>General</c:formatCode>
                <c:ptCount val="12"/>
                <c:pt idx="0">
                  <c:v>5</c:v>
                </c:pt>
                <c:pt idx="1">
                  <c:v>-150.13235175009777</c:v>
                </c:pt>
                <c:pt idx="2">
                  <c:v>-116.13235175009777</c:v>
                </c:pt>
                <c:pt idx="3">
                  <c:v>-84.132351750097769</c:v>
                </c:pt>
                <c:pt idx="4">
                  <c:v>-54.132351750097776</c:v>
                </c:pt>
                <c:pt idx="5">
                  <c:v>-26.132351750097772</c:v>
                </c:pt>
                <c:pt idx="6">
                  <c:v>-0.13235175009777303</c:v>
                </c:pt>
                <c:pt idx="7">
                  <c:v>23.867648249902228</c:v>
                </c:pt>
                <c:pt idx="8">
                  <c:v>45.867648249902224</c:v>
                </c:pt>
                <c:pt idx="9">
                  <c:v>65.867648249902231</c:v>
                </c:pt>
                <c:pt idx="10">
                  <c:v>83.867648249902231</c:v>
                </c:pt>
                <c:pt idx="11">
                  <c:v>99.867648249902231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96A-4123-8906-9A953B27ADCA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136469055"/>
        <c:axId val="136464895"/>
        <c:axId val="168361279"/>
      </c:surface3DChart>
      <c:catAx>
        <c:axId val="13646905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464895"/>
        <c:crosses val="autoZero"/>
        <c:auto val="1"/>
        <c:lblAlgn val="ctr"/>
        <c:lblOffset val="100"/>
        <c:noMultiLvlLbl val="0"/>
      </c:catAx>
      <c:valAx>
        <c:axId val="13646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469055"/>
        <c:crosses val="autoZero"/>
        <c:crossBetween val="midCat"/>
      </c:valAx>
      <c:serAx>
        <c:axId val="1683612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46489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604837</xdr:colOff>
      <xdr:row>0</xdr:row>
      <xdr:rowOff>128587</xdr:rowOff>
    </xdr:from>
    <xdr:to>
      <xdr:col>18</xdr:col>
      <xdr:colOff>9525</xdr:colOff>
      <xdr:row>14</xdr:row>
      <xdr:rowOff>166687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DB2266-76D7-43D6-BA5A-64F072057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23812</xdr:rowOff>
    </xdr:from>
    <xdr:to>
      <xdr:col>6</xdr:col>
      <xdr:colOff>342900</xdr:colOff>
      <xdr:row>45</xdr:row>
      <xdr:rowOff>100012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CD2151D-C2CE-4F3C-97D3-E5B0F3A80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56;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2">
          <cell r="F2" t="str">
            <v>Yэкспер</v>
          </cell>
        </row>
        <row r="3">
          <cell r="E3">
            <v>10</v>
          </cell>
          <cell r="F3">
            <v>0</v>
          </cell>
        </row>
        <row r="4">
          <cell r="E4">
            <v>20</v>
          </cell>
          <cell r="F4">
            <v>3</v>
          </cell>
        </row>
        <row r="5">
          <cell r="E5">
            <v>30</v>
          </cell>
          <cell r="F5">
            <v>7</v>
          </cell>
        </row>
        <row r="6">
          <cell r="E6">
            <v>40</v>
          </cell>
          <cell r="F6">
            <v>10</v>
          </cell>
        </row>
        <row r="7">
          <cell r="E7">
            <v>50</v>
          </cell>
          <cell r="F7">
            <v>11</v>
          </cell>
        </row>
        <row r="8">
          <cell r="E8">
            <v>60</v>
          </cell>
          <cell r="F8">
            <v>11</v>
          </cell>
        </row>
        <row r="9">
          <cell r="E9">
            <v>70</v>
          </cell>
          <cell r="F9">
            <v>10</v>
          </cell>
        </row>
        <row r="10">
          <cell r="E10">
            <v>80</v>
          </cell>
          <cell r="F10">
            <v>7</v>
          </cell>
        </row>
        <row r="11">
          <cell r="E11">
            <v>90</v>
          </cell>
          <cell r="F11">
            <v>4</v>
          </cell>
        </row>
        <row r="12">
          <cell r="E12">
            <v>100</v>
          </cell>
          <cell r="F12">
            <v>1</v>
          </cell>
        </row>
        <row r="20">
          <cell r="A20" t="str">
            <v>X/Y</v>
          </cell>
          <cell r="B20">
            <v>-5</v>
          </cell>
          <cell r="C20">
            <v>-4</v>
          </cell>
          <cell r="D20">
            <v>-3</v>
          </cell>
          <cell r="E20">
            <v>-2</v>
          </cell>
          <cell r="F20">
            <v>-1</v>
          </cell>
          <cell r="G20">
            <v>0</v>
          </cell>
          <cell r="H20">
            <v>1</v>
          </cell>
          <cell r="I20">
            <v>2</v>
          </cell>
          <cell r="J20">
            <v>3</v>
          </cell>
          <cell r="K20">
            <v>4</v>
          </cell>
          <cell r="L20">
            <v>5</v>
          </cell>
        </row>
        <row r="21">
          <cell r="A21">
            <v>-5</v>
          </cell>
          <cell r="B21">
            <v>99.867648249902231</v>
          </cell>
          <cell r="C21">
            <v>83.867648249902231</v>
          </cell>
          <cell r="D21">
            <v>65.867648249902231</v>
          </cell>
          <cell r="E21">
            <v>45.867648249902224</v>
          </cell>
          <cell r="F21">
            <v>23.867648249902228</v>
          </cell>
          <cell r="G21">
            <v>-0.13235175009777303</v>
          </cell>
          <cell r="H21">
            <v>-26.132351750097772</v>
          </cell>
          <cell r="I21">
            <v>-54.132351750097776</v>
          </cell>
          <cell r="J21">
            <v>-84.132351750097769</v>
          </cell>
          <cell r="K21">
            <v>-116.13235175009777</v>
          </cell>
          <cell r="L21">
            <v>-150.13235175009777</v>
          </cell>
        </row>
        <row r="22">
          <cell r="A22">
            <v>-4</v>
          </cell>
          <cell r="B22">
            <v>74.712096683334934</v>
          </cell>
          <cell r="C22">
            <v>63.712096683334934</v>
          </cell>
          <cell r="D22">
            <v>50.712096683334934</v>
          </cell>
          <cell r="E22">
            <v>35.712096683334934</v>
          </cell>
          <cell r="F22">
            <v>18.712096683334934</v>
          </cell>
          <cell r="G22">
            <v>-0.2879033166650653</v>
          </cell>
          <cell r="H22">
            <v>-21.287903316665066</v>
          </cell>
          <cell r="I22">
            <v>-44.287903316665066</v>
          </cell>
          <cell r="J22">
            <v>-69.287903316665066</v>
          </cell>
          <cell r="K22">
            <v>-96.287903316665066</v>
          </cell>
          <cell r="L22">
            <v>-125.28790331666507</v>
          </cell>
        </row>
        <row r="23">
          <cell r="A23">
            <v>-3</v>
          </cell>
          <cell r="B23">
            <v>50.412118485241756</v>
          </cell>
          <cell r="C23">
            <v>44.412118485241756</v>
          </cell>
          <cell r="D23">
            <v>36.412118485241756</v>
          </cell>
          <cell r="E23">
            <v>26.412118485241756</v>
          </cell>
          <cell r="F23">
            <v>14.412118485241756</v>
          </cell>
          <cell r="G23">
            <v>0.41211848524175659</v>
          </cell>
          <cell r="H23">
            <v>-15.587881514758244</v>
          </cell>
          <cell r="I23">
            <v>-33.587881514758244</v>
          </cell>
          <cell r="J23">
            <v>-53.587881514758244</v>
          </cell>
          <cell r="K23">
            <v>-75.587881514758237</v>
          </cell>
          <cell r="L23">
            <v>-99.587881514758237</v>
          </cell>
        </row>
        <row r="24">
          <cell r="A24">
            <v>-2</v>
          </cell>
          <cell r="B24">
            <v>24.243197504692073</v>
          </cell>
          <cell r="C24">
            <v>23.243197504692073</v>
          </cell>
          <cell r="D24">
            <v>20.24319750469207</v>
          </cell>
          <cell r="E24">
            <v>15.243197504692072</v>
          </cell>
          <cell r="F24">
            <v>8.2431975046920716</v>
          </cell>
          <cell r="G24">
            <v>-0.7568024953079282</v>
          </cell>
          <cell r="H24">
            <v>-11.756802495307928</v>
          </cell>
          <cell r="I24">
            <v>-24.75680249530793</v>
          </cell>
          <cell r="J24">
            <v>-39.75680249530793</v>
          </cell>
          <cell r="K24">
            <v>-56.756802495307923</v>
          </cell>
          <cell r="L24">
            <v>-75.756802495307923</v>
          </cell>
        </row>
        <row r="25">
          <cell r="A25">
            <v>-1</v>
          </cell>
          <cell r="B25">
            <v>0.84147098480789495</v>
          </cell>
          <cell r="C25">
            <v>4.8414709848078967</v>
          </cell>
          <cell r="D25">
            <v>6.8414709848078967</v>
          </cell>
          <cell r="E25">
            <v>6.8414709848078967</v>
          </cell>
          <cell r="F25">
            <v>4.8414709848078967</v>
          </cell>
          <cell r="G25">
            <v>0.8414709848078965</v>
          </cell>
          <cell r="H25">
            <v>-5.1585290151921033</v>
          </cell>
          <cell r="I25">
            <v>-13.158529015192103</v>
          </cell>
          <cell r="J25">
            <v>-23.158529015192101</v>
          </cell>
          <cell r="K25">
            <v>-35.158529015192101</v>
          </cell>
          <cell r="L25">
            <v>-49.158529015192101</v>
          </cell>
        </row>
        <row r="26">
          <cell r="A26">
            <v>0</v>
          </cell>
          <cell r="B26">
            <v>-25</v>
          </cell>
          <cell r="C26">
            <v>-16</v>
          </cell>
          <cell r="D26">
            <v>-9</v>
          </cell>
          <cell r="E26">
            <v>-4</v>
          </cell>
          <cell r="F26">
            <v>-1</v>
          </cell>
          <cell r="G26">
            <v>0</v>
          </cell>
          <cell r="H26">
            <v>-1</v>
          </cell>
          <cell r="I26">
            <v>-4</v>
          </cell>
          <cell r="J26">
            <v>-9</v>
          </cell>
          <cell r="K26">
            <v>-16</v>
          </cell>
          <cell r="L26">
            <v>-25</v>
          </cell>
        </row>
        <row r="27">
          <cell r="A27">
            <v>1</v>
          </cell>
          <cell r="B27">
            <v>-49.158529015192101</v>
          </cell>
          <cell r="C27">
            <v>-35.158529015192101</v>
          </cell>
          <cell r="D27">
            <v>-23.158529015192101</v>
          </cell>
          <cell r="E27">
            <v>-13.158529015192103</v>
          </cell>
          <cell r="F27">
            <v>-5.1585290151921033</v>
          </cell>
          <cell r="G27">
            <v>0.8414709848078965</v>
          </cell>
          <cell r="H27">
            <v>4.8414709848078967</v>
          </cell>
          <cell r="I27">
            <v>6.8414709848078967</v>
          </cell>
          <cell r="J27">
            <v>6.8414709848078967</v>
          </cell>
          <cell r="K27">
            <v>4.8414709848078967</v>
          </cell>
          <cell r="L27">
            <v>0.84147098480789495</v>
          </cell>
        </row>
        <row r="28">
          <cell r="A28">
            <v>2</v>
          </cell>
          <cell r="B28">
            <v>-75.756802495307923</v>
          </cell>
          <cell r="C28">
            <v>-56.756802495307923</v>
          </cell>
          <cell r="D28">
            <v>-39.75680249530793</v>
          </cell>
          <cell r="E28">
            <v>-24.75680249530793</v>
          </cell>
          <cell r="F28">
            <v>-11.756802495307928</v>
          </cell>
          <cell r="G28">
            <v>-0.7568024953079282</v>
          </cell>
          <cell r="H28">
            <v>8.2431975046920716</v>
          </cell>
          <cell r="I28">
            <v>15.243197504692072</v>
          </cell>
          <cell r="J28">
            <v>20.24319750469207</v>
          </cell>
          <cell r="K28">
            <v>23.243197504692073</v>
          </cell>
          <cell r="L28">
            <v>24.243197504692073</v>
          </cell>
        </row>
        <row r="29">
          <cell r="A29">
            <v>3</v>
          </cell>
          <cell r="B29">
            <v>-99.587881514758237</v>
          </cell>
          <cell r="C29">
            <v>-75.587881514758237</v>
          </cell>
          <cell r="D29">
            <v>-53.587881514758244</v>
          </cell>
          <cell r="E29">
            <v>-33.587881514758244</v>
          </cell>
          <cell r="F29">
            <v>-15.587881514758244</v>
          </cell>
          <cell r="G29">
            <v>0.41211848524175659</v>
          </cell>
          <cell r="H29">
            <v>14.412118485241756</v>
          </cell>
          <cell r="I29">
            <v>26.412118485241756</v>
          </cell>
          <cell r="J29">
            <v>36.412118485241756</v>
          </cell>
          <cell r="K29">
            <v>44.412118485241756</v>
          </cell>
          <cell r="L29">
            <v>50.412118485241756</v>
          </cell>
        </row>
        <row r="30">
          <cell r="A30">
            <v>4</v>
          </cell>
          <cell r="B30">
            <v>-125.28790331666507</v>
          </cell>
          <cell r="C30">
            <v>-96.287903316665066</v>
          </cell>
          <cell r="D30">
            <v>-69.287903316665066</v>
          </cell>
          <cell r="E30">
            <v>-44.287903316665066</v>
          </cell>
          <cell r="F30">
            <v>-21.287903316665066</v>
          </cell>
          <cell r="G30">
            <v>-0.2879033166650653</v>
          </cell>
          <cell r="H30">
            <v>18.712096683334934</v>
          </cell>
          <cell r="I30">
            <v>35.712096683334934</v>
          </cell>
          <cell r="J30">
            <v>50.712096683334934</v>
          </cell>
          <cell r="K30">
            <v>63.712096683334934</v>
          </cell>
          <cell r="L30">
            <v>74.712096683334934</v>
          </cell>
        </row>
        <row r="31">
          <cell r="A31">
            <v>5</v>
          </cell>
          <cell r="B31">
            <v>-150.13235175009777</v>
          </cell>
          <cell r="C31">
            <v>-116.13235175009777</v>
          </cell>
          <cell r="D31">
            <v>-84.132351750097769</v>
          </cell>
          <cell r="E31">
            <v>-54.132351750097776</v>
          </cell>
          <cell r="F31">
            <v>-26.132351750097772</v>
          </cell>
          <cell r="G31">
            <v>-0.13235175009777303</v>
          </cell>
          <cell r="H31">
            <v>23.867648249902228</v>
          </cell>
          <cell r="I31">
            <v>45.867648249902224</v>
          </cell>
          <cell r="J31">
            <v>65.867648249902231</v>
          </cell>
          <cell r="K31">
            <v>83.867648249902231</v>
          </cell>
          <cell r="L31">
            <v>99.867648249902231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topLeftCell="A19" workbookViewId="0">
      <selection activeCell="J28" sqref="J28"/>
    </sheetView>
  </sheetViews>
  <sheetFormatPr defaultRowHeight="15" x14ac:dyDescent="0.25"/>
  <cols>
    <col min="1" max="1" width="13.7109375" customWidth="1"/>
    <col min="5" max="5" width="13.140625" bestFit="1" customWidth="1"/>
  </cols>
  <sheetData>
    <row r="1" spans="1:19" ht="15.75" thickBot="1" x14ac:dyDescent="0.3">
      <c r="A1" s="1" t="s">
        <v>0</v>
      </c>
      <c r="B1" s="2"/>
      <c r="C1" s="3"/>
      <c r="D1" s="4" t="s">
        <v>1</v>
      </c>
      <c r="E1" s="4"/>
      <c r="F1" s="4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</row>
    <row r="2" spans="1:19" ht="15.75" thickBot="1" x14ac:dyDescent="0.3">
      <c r="A2" s="6" t="s">
        <v>2</v>
      </c>
      <c r="B2" s="5">
        <v>10</v>
      </c>
      <c r="D2" s="7" t="s">
        <v>3</v>
      </c>
      <c r="E2" s="8" t="s">
        <v>2</v>
      </c>
      <c r="F2" s="8" t="s">
        <v>4</v>
      </c>
      <c r="G2" s="9" t="s">
        <v>5</v>
      </c>
      <c r="S2" s="10"/>
    </row>
    <row r="3" spans="1:19" ht="15.75" thickBot="1" x14ac:dyDescent="0.3">
      <c r="A3" s="11" t="s">
        <v>6</v>
      </c>
      <c r="B3" s="12">
        <v>10</v>
      </c>
      <c r="D3" s="13">
        <v>1</v>
      </c>
      <c r="E3" s="14">
        <f>B2</f>
        <v>10</v>
      </c>
      <c r="F3" s="14">
        <v>0</v>
      </c>
      <c r="G3" s="15"/>
      <c r="S3" s="10"/>
    </row>
    <row r="4" spans="1:19" x14ac:dyDescent="0.25">
      <c r="A4" s="16"/>
      <c r="D4" s="17">
        <v>2</v>
      </c>
      <c r="E4" s="18">
        <f>E3+$B$3</f>
        <v>20</v>
      </c>
      <c r="F4" s="18">
        <v>3</v>
      </c>
      <c r="G4" s="19"/>
      <c r="S4" s="10"/>
    </row>
    <row r="5" spans="1:19" x14ac:dyDescent="0.25">
      <c r="A5" s="16"/>
      <c r="D5" s="17">
        <v>3</v>
      </c>
      <c r="E5" s="18">
        <f t="shared" ref="E5:E12" si="0">E4+$B$3</f>
        <v>30</v>
      </c>
      <c r="F5" s="18">
        <v>7</v>
      </c>
      <c r="G5" s="19"/>
      <c r="S5" s="10"/>
    </row>
    <row r="6" spans="1:19" x14ac:dyDescent="0.25">
      <c r="A6" s="16"/>
      <c r="D6" s="17">
        <v>4</v>
      </c>
      <c r="E6" s="18">
        <f t="shared" si="0"/>
        <v>40</v>
      </c>
      <c r="F6" s="18">
        <v>10</v>
      </c>
      <c r="G6" s="19"/>
      <c r="S6" s="10"/>
    </row>
    <row r="7" spans="1:19" x14ac:dyDescent="0.25">
      <c r="A7" s="16"/>
      <c r="D7" s="17">
        <v>5</v>
      </c>
      <c r="E7" s="18">
        <f t="shared" si="0"/>
        <v>50</v>
      </c>
      <c r="F7" s="18">
        <v>11</v>
      </c>
      <c r="G7" s="19"/>
      <c r="S7" s="10"/>
    </row>
    <row r="8" spans="1:19" x14ac:dyDescent="0.25">
      <c r="A8" s="16"/>
      <c r="D8" s="17">
        <v>6</v>
      </c>
      <c r="E8" s="18">
        <f t="shared" si="0"/>
        <v>60</v>
      </c>
      <c r="F8" s="18">
        <v>11</v>
      </c>
      <c r="G8" s="19"/>
      <c r="S8" s="10"/>
    </row>
    <row r="9" spans="1:19" x14ac:dyDescent="0.25">
      <c r="A9" s="16"/>
      <c r="D9" s="17">
        <v>7</v>
      </c>
      <c r="E9" s="18">
        <f t="shared" si="0"/>
        <v>70</v>
      </c>
      <c r="F9" s="18">
        <v>10</v>
      </c>
      <c r="G9" s="19"/>
      <c r="S9" s="10"/>
    </row>
    <row r="10" spans="1:19" x14ac:dyDescent="0.25">
      <c r="A10" s="16"/>
      <c r="D10" s="17">
        <v>8</v>
      </c>
      <c r="E10" s="18">
        <f t="shared" si="0"/>
        <v>80</v>
      </c>
      <c r="F10" s="18">
        <v>7</v>
      </c>
      <c r="G10" s="19"/>
      <c r="S10" s="10"/>
    </row>
    <row r="11" spans="1:19" x14ac:dyDescent="0.25">
      <c r="A11" s="16"/>
      <c r="D11" s="17">
        <v>9</v>
      </c>
      <c r="E11" s="18">
        <f t="shared" si="0"/>
        <v>90</v>
      </c>
      <c r="F11" s="18">
        <v>4</v>
      </c>
      <c r="G11" s="19"/>
      <c r="S11" s="10"/>
    </row>
    <row r="12" spans="1:19" ht="15.75" thickBot="1" x14ac:dyDescent="0.3">
      <c r="A12" s="16"/>
      <c r="D12" s="20">
        <v>10</v>
      </c>
      <c r="E12" s="21">
        <f t="shared" si="0"/>
        <v>100</v>
      </c>
      <c r="F12" s="21">
        <v>1</v>
      </c>
      <c r="G12" s="22"/>
      <c r="S12" s="10"/>
    </row>
    <row r="13" spans="1:19" x14ac:dyDescent="0.25">
      <c r="A13" s="16"/>
      <c r="S13" s="10"/>
    </row>
    <row r="14" spans="1:19" x14ac:dyDescent="0.25">
      <c r="A14" s="16"/>
      <c r="S14" s="10"/>
    </row>
    <row r="15" spans="1:19" x14ac:dyDescent="0.25">
      <c r="A15" s="16"/>
      <c r="S15" s="10"/>
    </row>
    <row r="16" spans="1:19" x14ac:dyDescent="0.25">
      <c r="A16" s="16"/>
      <c r="S16" s="10"/>
    </row>
    <row r="17" spans="1:19" ht="15.75" thickBot="1" x14ac:dyDescent="0.3">
      <c r="A17" s="16"/>
      <c r="S17" s="10"/>
    </row>
    <row r="18" spans="1:19" ht="15.75" thickBot="1" x14ac:dyDescent="0.3">
      <c r="A18" s="23" t="s">
        <v>7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5"/>
    </row>
    <row r="19" spans="1:19" ht="15.75" thickBot="1" x14ac:dyDescent="0.3"/>
    <row r="20" spans="1:19" ht="15.75" thickBot="1" x14ac:dyDescent="0.3">
      <c r="A20" s="26" t="s">
        <v>8</v>
      </c>
      <c r="B20" s="27">
        <v>-5</v>
      </c>
      <c r="C20" s="27">
        <v>-4</v>
      </c>
      <c r="D20" s="27">
        <v>-3</v>
      </c>
      <c r="E20" s="27">
        <v>-2</v>
      </c>
      <c r="F20" s="27">
        <v>-1</v>
      </c>
      <c r="G20" s="27">
        <v>0</v>
      </c>
      <c r="H20" s="27">
        <v>1</v>
      </c>
      <c r="I20" s="27">
        <v>2</v>
      </c>
      <c r="J20" s="27">
        <v>3</v>
      </c>
      <c r="K20" s="27">
        <v>4</v>
      </c>
      <c r="L20" s="28">
        <v>5</v>
      </c>
      <c r="M20" s="5"/>
    </row>
    <row r="21" spans="1:19" x14ac:dyDescent="0.25">
      <c r="A21" s="29">
        <v>-5</v>
      </c>
      <c r="B21" s="30">
        <f>SIN($A21^2)-(B$20^2)+5*$A21*B$20</f>
        <v>99.867648249902231</v>
      </c>
      <c r="C21" s="30">
        <f t="shared" ref="C21:L31" si="1">SIN($A21^2)-(C$20^2)+5*$A21*C$20</f>
        <v>83.867648249902231</v>
      </c>
      <c r="D21" s="30">
        <f t="shared" si="1"/>
        <v>65.867648249902231</v>
      </c>
      <c r="E21" s="30">
        <f t="shared" si="1"/>
        <v>45.867648249902224</v>
      </c>
      <c r="F21" s="30">
        <f t="shared" si="1"/>
        <v>23.867648249902228</v>
      </c>
      <c r="G21" s="30">
        <f t="shared" si="1"/>
        <v>-0.13235175009777303</v>
      </c>
      <c r="H21" s="30">
        <f t="shared" si="1"/>
        <v>-26.132351750097772</v>
      </c>
      <c r="I21" s="30">
        <f t="shared" si="1"/>
        <v>-54.132351750097776</v>
      </c>
      <c r="J21" s="30">
        <f t="shared" si="1"/>
        <v>-84.132351750097769</v>
      </c>
      <c r="K21" s="30">
        <f t="shared" si="1"/>
        <v>-116.13235175009777</v>
      </c>
      <c r="L21" s="31">
        <f t="shared" si="1"/>
        <v>-150.13235175009777</v>
      </c>
      <c r="M21" s="10"/>
    </row>
    <row r="22" spans="1:19" x14ac:dyDescent="0.25">
      <c r="A22" s="29">
        <v>-4</v>
      </c>
      <c r="B22" s="30">
        <f t="shared" ref="B22:B31" si="2">SIN($A22^2)-(B$20^2)+5*$A22*B$20</f>
        <v>74.712096683334934</v>
      </c>
      <c r="C22" s="30">
        <f t="shared" si="1"/>
        <v>63.712096683334934</v>
      </c>
      <c r="D22" s="30">
        <f t="shared" si="1"/>
        <v>50.712096683334934</v>
      </c>
      <c r="E22" s="30">
        <f t="shared" si="1"/>
        <v>35.712096683334934</v>
      </c>
      <c r="F22" s="30">
        <f t="shared" si="1"/>
        <v>18.712096683334934</v>
      </c>
      <c r="G22" s="30">
        <f t="shared" si="1"/>
        <v>-0.2879033166650653</v>
      </c>
      <c r="H22" s="30">
        <f t="shared" si="1"/>
        <v>-21.287903316665066</v>
      </c>
      <c r="I22" s="30">
        <f t="shared" si="1"/>
        <v>-44.287903316665066</v>
      </c>
      <c r="J22" s="30">
        <f t="shared" si="1"/>
        <v>-69.287903316665066</v>
      </c>
      <c r="K22" s="30">
        <f t="shared" si="1"/>
        <v>-96.287903316665066</v>
      </c>
      <c r="L22" s="31">
        <f t="shared" si="1"/>
        <v>-125.28790331666507</v>
      </c>
      <c r="M22" s="10"/>
    </row>
    <row r="23" spans="1:19" x14ac:dyDescent="0.25">
      <c r="A23" s="29">
        <v>-3</v>
      </c>
      <c r="B23" s="30">
        <f t="shared" si="2"/>
        <v>50.412118485241756</v>
      </c>
      <c r="C23" s="30">
        <f t="shared" si="1"/>
        <v>44.412118485241756</v>
      </c>
      <c r="D23" s="30">
        <f t="shared" si="1"/>
        <v>36.412118485241756</v>
      </c>
      <c r="E23" s="30">
        <f t="shared" si="1"/>
        <v>26.412118485241756</v>
      </c>
      <c r="F23" s="30">
        <f t="shared" si="1"/>
        <v>14.412118485241756</v>
      </c>
      <c r="G23" s="30">
        <f t="shared" si="1"/>
        <v>0.41211848524175659</v>
      </c>
      <c r="H23" s="30">
        <f t="shared" si="1"/>
        <v>-15.587881514758244</v>
      </c>
      <c r="I23" s="30">
        <f t="shared" si="1"/>
        <v>-33.587881514758244</v>
      </c>
      <c r="J23" s="30">
        <f t="shared" si="1"/>
        <v>-53.587881514758244</v>
      </c>
      <c r="K23" s="30">
        <f t="shared" si="1"/>
        <v>-75.587881514758237</v>
      </c>
      <c r="L23" s="31">
        <f t="shared" si="1"/>
        <v>-99.587881514758237</v>
      </c>
      <c r="M23" s="10"/>
    </row>
    <row r="24" spans="1:19" x14ac:dyDescent="0.25">
      <c r="A24" s="29">
        <v>-2</v>
      </c>
      <c r="B24" s="30">
        <f t="shared" si="2"/>
        <v>24.243197504692073</v>
      </c>
      <c r="C24" s="30">
        <f t="shared" si="1"/>
        <v>23.243197504692073</v>
      </c>
      <c r="D24" s="30">
        <f t="shared" si="1"/>
        <v>20.24319750469207</v>
      </c>
      <c r="E24" s="30">
        <f t="shared" si="1"/>
        <v>15.243197504692072</v>
      </c>
      <c r="F24" s="30">
        <f t="shared" si="1"/>
        <v>8.2431975046920716</v>
      </c>
      <c r="G24" s="30">
        <f t="shared" si="1"/>
        <v>-0.7568024953079282</v>
      </c>
      <c r="H24" s="30">
        <f t="shared" si="1"/>
        <v>-11.756802495307928</v>
      </c>
      <c r="I24" s="30">
        <f t="shared" si="1"/>
        <v>-24.75680249530793</v>
      </c>
      <c r="J24" s="30">
        <f t="shared" si="1"/>
        <v>-39.75680249530793</v>
      </c>
      <c r="K24" s="30">
        <f t="shared" si="1"/>
        <v>-56.756802495307923</v>
      </c>
      <c r="L24" s="31">
        <f t="shared" si="1"/>
        <v>-75.756802495307923</v>
      </c>
      <c r="M24" s="10"/>
    </row>
    <row r="25" spans="1:19" x14ac:dyDescent="0.25">
      <c r="A25" s="29">
        <v>-1</v>
      </c>
      <c r="B25" s="30">
        <f t="shared" si="2"/>
        <v>0.84147098480789495</v>
      </c>
      <c r="C25" s="30">
        <f t="shared" si="1"/>
        <v>4.8414709848078967</v>
      </c>
      <c r="D25" s="30">
        <f t="shared" si="1"/>
        <v>6.8414709848078967</v>
      </c>
      <c r="E25" s="30">
        <f t="shared" si="1"/>
        <v>6.8414709848078967</v>
      </c>
      <c r="F25" s="30">
        <f t="shared" si="1"/>
        <v>4.8414709848078967</v>
      </c>
      <c r="G25" s="30">
        <f t="shared" si="1"/>
        <v>0.8414709848078965</v>
      </c>
      <c r="H25" s="30">
        <f t="shared" si="1"/>
        <v>-5.1585290151921033</v>
      </c>
      <c r="I25" s="30">
        <f t="shared" si="1"/>
        <v>-13.158529015192103</v>
      </c>
      <c r="J25" s="30">
        <f t="shared" si="1"/>
        <v>-23.158529015192101</v>
      </c>
      <c r="K25" s="30">
        <f t="shared" si="1"/>
        <v>-35.158529015192101</v>
      </c>
      <c r="L25" s="31">
        <f t="shared" si="1"/>
        <v>-49.158529015192101</v>
      </c>
      <c r="M25" s="10"/>
    </row>
    <row r="26" spans="1:19" x14ac:dyDescent="0.25">
      <c r="A26" s="29">
        <v>0</v>
      </c>
      <c r="B26" s="30">
        <f t="shared" si="2"/>
        <v>-25</v>
      </c>
      <c r="C26" s="30">
        <f t="shared" si="1"/>
        <v>-16</v>
      </c>
      <c r="D26" s="30">
        <f t="shared" si="1"/>
        <v>-9</v>
      </c>
      <c r="E26" s="30">
        <f t="shared" si="1"/>
        <v>-4</v>
      </c>
      <c r="F26" s="30">
        <f t="shared" si="1"/>
        <v>-1</v>
      </c>
      <c r="G26" s="30">
        <f t="shared" si="1"/>
        <v>0</v>
      </c>
      <c r="H26" s="30">
        <f t="shared" si="1"/>
        <v>-1</v>
      </c>
      <c r="I26" s="30">
        <f t="shared" si="1"/>
        <v>-4</v>
      </c>
      <c r="J26" s="30">
        <f t="shared" si="1"/>
        <v>-9</v>
      </c>
      <c r="K26" s="30">
        <f t="shared" si="1"/>
        <v>-16</v>
      </c>
      <c r="L26" s="31">
        <f t="shared" si="1"/>
        <v>-25</v>
      </c>
      <c r="M26" s="10"/>
    </row>
    <row r="27" spans="1:19" x14ac:dyDescent="0.25">
      <c r="A27" s="29">
        <v>1</v>
      </c>
      <c r="B27" s="30">
        <f t="shared" si="2"/>
        <v>-49.158529015192101</v>
      </c>
      <c r="C27" s="30">
        <f t="shared" si="1"/>
        <v>-35.158529015192101</v>
      </c>
      <c r="D27" s="30">
        <f t="shared" si="1"/>
        <v>-23.158529015192101</v>
      </c>
      <c r="E27" s="30">
        <f t="shared" si="1"/>
        <v>-13.158529015192103</v>
      </c>
      <c r="F27" s="30">
        <f t="shared" si="1"/>
        <v>-5.1585290151921033</v>
      </c>
      <c r="G27" s="30">
        <f t="shared" si="1"/>
        <v>0.8414709848078965</v>
      </c>
      <c r="H27" s="30">
        <f t="shared" si="1"/>
        <v>4.8414709848078967</v>
      </c>
      <c r="I27" s="30">
        <f t="shared" si="1"/>
        <v>6.8414709848078967</v>
      </c>
      <c r="J27" s="30">
        <f t="shared" si="1"/>
        <v>6.8414709848078967</v>
      </c>
      <c r="K27" s="30">
        <f t="shared" si="1"/>
        <v>4.8414709848078967</v>
      </c>
      <c r="L27" s="31">
        <f t="shared" si="1"/>
        <v>0.84147098480789495</v>
      </c>
      <c r="M27" s="10"/>
    </row>
    <row r="28" spans="1:19" x14ac:dyDescent="0.25">
      <c r="A28" s="29">
        <v>2</v>
      </c>
      <c r="B28" s="30">
        <f t="shared" si="2"/>
        <v>-75.756802495307923</v>
      </c>
      <c r="C28" s="30">
        <f t="shared" si="1"/>
        <v>-56.756802495307923</v>
      </c>
      <c r="D28" s="30">
        <f t="shared" si="1"/>
        <v>-39.75680249530793</v>
      </c>
      <c r="E28" s="30">
        <f t="shared" si="1"/>
        <v>-24.75680249530793</v>
      </c>
      <c r="F28" s="30">
        <f t="shared" si="1"/>
        <v>-11.756802495307928</v>
      </c>
      <c r="G28" s="30">
        <f t="shared" si="1"/>
        <v>-0.7568024953079282</v>
      </c>
      <c r="H28" s="30">
        <f t="shared" si="1"/>
        <v>8.2431975046920716</v>
      </c>
      <c r="I28" s="30">
        <f t="shared" si="1"/>
        <v>15.243197504692072</v>
      </c>
      <c r="J28" s="30">
        <f t="shared" si="1"/>
        <v>20.24319750469207</v>
      </c>
      <c r="K28" s="30">
        <f t="shared" si="1"/>
        <v>23.243197504692073</v>
      </c>
      <c r="L28" s="31">
        <f t="shared" si="1"/>
        <v>24.243197504692073</v>
      </c>
      <c r="M28" s="10"/>
    </row>
    <row r="29" spans="1:19" x14ac:dyDescent="0.25">
      <c r="A29" s="29">
        <v>3</v>
      </c>
      <c r="B29" s="30">
        <f t="shared" si="2"/>
        <v>-99.587881514758237</v>
      </c>
      <c r="C29" s="30">
        <f t="shared" si="1"/>
        <v>-75.587881514758237</v>
      </c>
      <c r="D29" s="30">
        <f t="shared" si="1"/>
        <v>-53.587881514758244</v>
      </c>
      <c r="E29" s="30">
        <f t="shared" si="1"/>
        <v>-33.587881514758244</v>
      </c>
      <c r="F29" s="30">
        <f t="shared" si="1"/>
        <v>-15.587881514758244</v>
      </c>
      <c r="G29" s="30">
        <f t="shared" si="1"/>
        <v>0.41211848524175659</v>
      </c>
      <c r="H29" s="30">
        <f t="shared" si="1"/>
        <v>14.412118485241756</v>
      </c>
      <c r="I29" s="30">
        <f t="shared" si="1"/>
        <v>26.412118485241756</v>
      </c>
      <c r="J29" s="30">
        <f t="shared" si="1"/>
        <v>36.412118485241756</v>
      </c>
      <c r="K29" s="30">
        <f t="shared" si="1"/>
        <v>44.412118485241756</v>
      </c>
      <c r="L29" s="31">
        <f t="shared" si="1"/>
        <v>50.412118485241756</v>
      </c>
      <c r="M29" s="10"/>
    </row>
    <row r="30" spans="1:19" x14ac:dyDescent="0.25">
      <c r="A30" s="29">
        <v>4</v>
      </c>
      <c r="B30" s="30">
        <f t="shared" si="2"/>
        <v>-125.28790331666507</v>
      </c>
      <c r="C30" s="30">
        <f t="shared" si="1"/>
        <v>-96.287903316665066</v>
      </c>
      <c r="D30" s="30">
        <f t="shared" si="1"/>
        <v>-69.287903316665066</v>
      </c>
      <c r="E30" s="30">
        <f t="shared" si="1"/>
        <v>-44.287903316665066</v>
      </c>
      <c r="F30" s="30">
        <f t="shared" si="1"/>
        <v>-21.287903316665066</v>
      </c>
      <c r="G30" s="30">
        <f t="shared" si="1"/>
        <v>-0.2879033166650653</v>
      </c>
      <c r="H30" s="30">
        <f t="shared" si="1"/>
        <v>18.712096683334934</v>
      </c>
      <c r="I30" s="30">
        <f t="shared" si="1"/>
        <v>35.712096683334934</v>
      </c>
      <c r="J30" s="30">
        <f t="shared" si="1"/>
        <v>50.712096683334934</v>
      </c>
      <c r="K30" s="30">
        <f t="shared" si="1"/>
        <v>63.712096683334934</v>
      </c>
      <c r="L30" s="31">
        <f t="shared" si="1"/>
        <v>74.712096683334934</v>
      </c>
      <c r="M30" s="10"/>
    </row>
    <row r="31" spans="1:19" ht="15.75" thickBot="1" x14ac:dyDescent="0.3">
      <c r="A31" s="32">
        <v>5</v>
      </c>
      <c r="B31" s="33">
        <f t="shared" si="2"/>
        <v>-150.13235175009777</v>
      </c>
      <c r="C31" s="33">
        <f t="shared" si="1"/>
        <v>-116.13235175009777</v>
      </c>
      <c r="D31" s="33">
        <f t="shared" si="1"/>
        <v>-84.132351750097769</v>
      </c>
      <c r="E31" s="33">
        <f t="shared" si="1"/>
        <v>-54.132351750097776</v>
      </c>
      <c r="F31" s="33">
        <f t="shared" si="1"/>
        <v>-26.132351750097772</v>
      </c>
      <c r="G31" s="33">
        <f t="shared" si="1"/>
        <v>-0.13235175009777303</v>
      </c>
      <c r="H31" s="33">
        <f t="shared" si="1"/>
        <v>23.867648249902228</v>
      </c>
      <c r="I31" s="33">
        <f t="shared" si="1"/>
        <v>45.867648249902224</v>
      </c>
      <c r="J31" s="33">
        <f t="shared" si="1"/>
        <v>65.867648249902231</v>
      </c>
      <c r="K31" s="33">
        <f t="shared" si="1"/>
        <v>83.867648249902231</v>
      </c>
      <c r="L31" s="34">
        <f t="shared" si="1"/>
        <v>99.867648249902231</v>
      </c>
      <c r="M31" s="10"/>
    </row>
    <row r="32" spans="1:19" x14ac:dyDescent="0.25">
      <c r="A32" s="16"/>
      <c r="M32" s="10"/>
    </row>
    <row r="33" spans="1:13" x14ac:dyDescent="0.25">
      <c r="A33" s="16"/>
      <c r="M33" s="10"/>
    </row>
    <row r="34" spans="1:13" x14ac:dyDescent="0.25">
      <c r="A34" s="16"/>
      <c r="M34" s="10"/>
    </row>
    <row r="35" spans="1:13" x14ac:dyDescent="0.25">
      <c r="A35" s="16"/>
      <c r="M35" s="10"/>
    </row>
    <row r="36" spans="1:13" x14ac:dyDescent="0.25">
      <c r="A36" s="16"/>
      <c r="M36" s="10"/>
    </row>
    <row r="37" spans="1:13" x14ac:dyDescent="0.25">
      <c r="A37" s="16"/>
      <c r="M37" s="10"/>
    </row>
    <row r="38" spans="1:13" x14ac:dyDescent="0.25">
      <c r="A38" s="16"/>
      <c r="M38" s="10"/>
    </row>
    <row r="39" spans="1:13" x14ac:dyDescent="0.25">
      <c r="A39" s="16"/>
      <c r="M39" s="10"/>
    </row>
    <row r="40" spans="1:13" x14ac:dyDescent="0.25">
      <c r="A40" s="16"/>
      <c r="M40" s="10"/>
    </row>
    <row r="41" spans="1:13" x14ac:dyDescent="0.25">
      <c r="A41" s="16"/>
      <c r="M41" s="10"/>
    </row>
    <row r="42" spans="1:13" x14ac:dyDescent="0.25">
      <c r="A42" s="16"/>
      <c r="M42" s="10"/>
    </row>
    <row r="43" spans="1:13" x14ac:dyDescent="0.25">
      <c r="A43" s="16"/>
      <c r="M43" s="10"/>
    </row>
    <row r="44" spans="1:13" x14ac:dyDescent="0.25">
      <c r="A44" s="16"/>
      <c r="M44" s="10"/>
    </row>
    <row r="45" spans="1:13" x14ac:dyDescent="0.25">
      <c r="A45" s="16"/>
      <c r="M45" s="10"/>
    </row>
    <row r="46" spans="1:13" ht="15.75" thickBot="1" x14ac:dyDescent="0.3">
      <c r="A46" s="16"/>
      <c r="M46" s="10"/>
    </row>
    <row r="47" spans="1:13" x14ac:dyDescent="0.25">
      <c r="A47" s="1" t="s">
        <v>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5"/>
    </row>
    <row r="48" spans="1:13" ht="15.75" thickBot="1" x14ac:dyDescent="0.3">
      <c r="A48" s="36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8"/>
    </row>
  </sheetData>
  <mergeCells count="4">
    <mergeCell ref="A1:B1"/>
    <mergeCell ref="D1:G1"/>
    <mergeCell ref="A18:S18"/>
    <mergeCell ref="A47:M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2026-04-11T08:13:25Z</dcterms:modified>
</cp:coreProperties>
</file>