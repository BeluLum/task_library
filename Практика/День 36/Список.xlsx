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S:\students\GR_89\Ермаченко Александра\Практика\День 36\"/>
    </mc:Choice>
  </mc:AlternateContent>
  <xr:revisionPtr revIDLastSave="0" documentId="13_ncr:1_{697600A0-B27C-411D-89EF-25D23391B982}" xr6:coauthVersionLast="47" xr6:coauthVersionMax="47" xr10:uidLastSave="{00000000-0000-0000-0000-000000000000}"/>
  <bookViews>
    <workbookView xWindow="1860" yWindow="1860" windowWidth="21600" windowHeight="11100" firstSheet="2" activeTab="4" xr2:uid="{00000000-000D-0000-FFFF-FFFF00000000}"/>
  </bookViews>
  <sheets>
    <sheet name="Сотрудники" sheetId="1" r:id="rId1"/>
    <sheet name="Возраст" sheetId="2" r:id="rId2"/>
    <sheet name="Пенсионеры" sheetId="3" r:id="rId3"/>
    <sheet name="Сведения ЗП" sheetId="4" r:id="rId4"/>
    <sheet name="Показатели роста" sheetId="5" r:id="rId5"/>
    <sheet name="График" sheetId="6" r:id="rId6"/>
    <sheet name="Соотношение по полу" sheetId="7" r:id="rId7"/>
  </sheets>
  <externalReferences>
    <externalReference r:id="rId8"/>
  </externalReferenc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4" l="1"/>
  <c r="C25" i="4"/>
  <c r="C24" i="4"/>
  <c r="D24" i="4" s="1"/>
  <c r="C23" i="4"/>
  <c r="D23" i="4" s="1"/>
  <c r="D22" i="4"/>
  <c r="C22" i="4"/>
  <c r="C21" i="4"/>
  <c r="D21" i="4" s="1"/>
  <c r="D20" i="4"/>
  <c r="C20" i="4"/>
  <c r="D19" i="4"/>
  <c r="C19" i="4"/>
  <c r="C18" i="4"/>
  <c r="D18" i="4" s="1"/>
  <c r="C17" i="4"/>
  <c r="D17" i="4" s="1"/>
  <c r="D16" i="4"/>
  <c r="C16" i="4"/>
  <c r="C15" i="4"/>
  <c r="D15" i="4" s="1"/>
  <c r="D14" i="4"/>
  <c r="C14" i="4"/>
  <c r="D13" i="4"/>
  <c r="C13" i="4"/>
  <c r="C12" i="4"/>
  <c r="D12" i="4" s="1"/>
  <c r="C11" i="4"/>
  <c r="D11" i="4" s="1"/>
  <c r="D10" i="4"/>
  <c r="C10" i="4"/>
  <c r="C9" i="4"/>
  <c r="D9" i="4" s="1"/>
  <c r="D8" i="4"/>
  <c r="C8" i="4"/>
  <c r="D7" i="4"/>
  <c r="C7" i="4"/>
  <c r="C6" i="4"/>
  <c r="D6" i="4" s="1"/>
  <c r="D43" i="1"/>
  <c r="D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</calcChain>
</file>

<file path=xl/sharedStrings.xml><?xml version="1.0" encoding="utf-8"?>
<sst xmlns="http://schemas.openxmlformats.org/spreadsheetml/2006/main" count="428" uniqueCount="137">
  <si>
    <t>№ Дела</t>
  </si>
  <si>
    <t>№ П/П</t>
  </si>
  <si>
    <t>Фамилия</t>
  </si>
  <si>
    <t>Пол</t>
  </si>
  <si>
    <t>Дата рождения</t>
  </si>
  <si>
    <t>Должность</t>
  </si>
  <si>
    <t>Работает с</t>
  </si>
  <si>
    <t>Стаж работы</t>
  </si>
  <si>
    <t>Возраст</t>
  </si>
  <si>
    <t>001</t>
  </si>
  <si>
    <t>Александров</t>
  </si>
  <si>
    <t>М</t>
  </si>
  <si>
    <t>Заместитель директора</t>
  </si>
  <si>
    <t>004</t>
  </si>
  <si>
    <t>Андреев</t>
  </si>
  <si>
    <t>Директор</t>
  </si>
  <si>
    <t>021</t>
  </si>
  <si>
    <t>Белов</t>
  </si>
  <si>
    <t>Рабочий</t>
  </si>
  <si>
    <t>002</t>
  </si>
  <si>
    <t>Борисов</t>
  </si>
  <si>
    <t>011</t>
  </si>
  <si>
    <t>Быстров</t>
  </si>
  <si>
    <t>Уборщик</t>
  </si>
  <si>
    <t>009</t>
  </si>
  <si>
    <t>Веселов</t>
  </si>
  <si>
    <t>Системный администратор</t>
  </si>
  <si>
    <t>026</t>
  </si>
  <si>
    <t>Викторов</t>
  </si>
  <si>
    <t>Инженер по ОТ</t>
  </si>
  <si>
    <t>039</t>
  </si>
  <si>
    <t xml:space="preserve">Владимирова </t>
  </si>
  <si>
    <t>Ж</t>
  </si>
  <si>
    <t>Секретарь-референт</t>
  </si>
  <si>
    <t>023</t>
  </si>
  <si>
    <t>Волкова</t>
  </si>
  <si>
    <t>Менеджер</t>
  </si>
  <si>
    <t>012</t>
  </si>
  <si>
    <t>Гаврилова</t>
  </si>
  <si>
    <t>Экономист</t>
  </si>
  <si>
    <t>005</t>
  </si>
  <si>
    <t>Давыдов</t>
  </si>
  <si>
    <t>Сантехник</t>
  </si>
  <si>
    <t>020</t>
  </si>
  <si>
    <t>Еремина</t>
  </si>
  <si>
    <t>Бухгалтер</t>
  </si>
  <si>
    <t>036</t>
  </si>
  <si>
    <t>Жидков</t>
  </si>
  <si>
    <t>016</t>
  </si>
  <si>
    <t>Зайцева</t>
  </si>
  <si>
    <t>Оператор ЭВМ</t>
  </si>
  <si>
    <t>025</t>
  </si>
  <si>
    <t>Захаров</t>
  </si>
  <si>
    <t>006</t>
  </si>
  <si>
    <t>Иванов</t>
  </si>
  <si>
    <t>Камендант</t>
  </si>
  <si>
    <t>032</t>
  </si>
  <si>
    <t>Игнатова</t>
  </si>
  <si>
    <t>028</t>
  </si>
  <si>
    <t>Кирилова</t>
  </si>
  <si>
    <t>014</t>
  </si>
  <si>
    <t>Кислов</t>
  </si>
  <si>
    <t>Столяр</t>
  </si>
  <si>
    <t>017</t>
  </si>
  <si>
    <t>Клюева</t>
  </si>
  <si>
    <t>Главный бухгалтер</t>
  </si>
  <si>
    <t>007</t>
  </si>
  <si>
    <t>Красилова</t>
  </si>
  <si>
    <t>Начальник ОК</t>
  </si>
  <si>
    <t>Краснов</t>
  </si>
  <si>
    <t>010</t>
  </si>
  <si>
    <t>Кузьмин</t>
  </si>
  <si>
    <t>Электрик</t>
  </si>
  <si>
    <t>040</t>
  </si>
  <si>
    <t>Лебедева</t>
  </si>
  <si>
    <t>034</t>
  </si>
  <si>
    <t>Медведева</t>
  </si>
  <si>
    <t>Программист</t>
  </si>
  <si>
    <t>037</t>
  </si>
  <si>
    <t>Носов</t>
  </si>
  <si>
    <t>Охранник</t>
  </si>
  <si>
    <t>013</t>
  </si>
  <si>
    <t>Орлова</t>
  </si>
  <si>
    <t>Уборщица</t>
  </si>
  <si>
    <t>027</t>
  </si>
  <si>
    <t>Петров</t>
  </si>
  <si>
    <t>033</t>
  </si>
  <si>
    <t>Романов</t>
  </si>
  <si>
    <t>Финансовый директор</t>
  </si>
  <si>
    <t>038</t>
  </si>
  <si>
    <t>Сидоров</t>
  </si>
  <si>
    <t>Аналитик</t>
  </si>
  <si>
    <t>018</t>
  </si>
  <si>
    <t>Синельников</t>
  </si>
  <si>
    <t>Завхоз</t>
  </si>
  <si>
    <t>022</t>
  </si>
  <si>
    <t>Тимофеев</t>
  </si>
  <si>
    <t>Кладовщик</t>
  </si>
  <si>
    <t>019</t>
  </si>
  <si>
    <t>Усков</t>
  </si>
  <si>
    <t>030</t>
  </si>
  <si>
    <t>Федоров</t>
  </si>
  <si>
    <t>Дворник</t>
  </si>
  <si>
    <t>035</t>
  </si>
  <si>
    <t>Фроликова</t>
  </si>
  <si>
    <t>Делопроизводитель</t>
  </si>
  <si>
    <t>015</t>
  </si>
  <si>
    <t>Хролов</t>
  </si>
  <si>
    <t>Вахтер</t>
  </si>
  <si>
    <t>024</t>
  </si>
  <si>
    <t>Царик</t>
  </si>
  <si>
    <t>Начальник охраны</t>
  </si>
  <si>
    <t>031</t>
  </si>
  <si>
    <t>Чернов</t>
  </si>
  <si>
    <t>Юрист</t>
  </si>
  <si>
    <t>008</t>
  </si>
  <si>
    <t>Шведов</t>
  </si>
  <si>
    <t>Секретарь</t>
  </si>
  <si>
    <t>029</t>
  </si>
  <si>
    <t>Широкова</t>
  </si>
  <si>
    <t>Кол-во женщин</t>
  </si>
  <si>
    <t>Кол-во мужчин</t>
  </si>
  <si>
    <t>СВЕДЕНИЯ</t>
  </si>
  <si>
    <t>о заработной плате работников УП "Алькор"</t>
  </si>
  <si>
    <t>Плата за час</t>
  </si>
  <si>
    <t>Курс у. е.</t>
  </si>
  <si>
    <t>Сотрудники</t>
  </si>
  <si>
    <t>Количество
часов</t>
  </si>
  <si>
    <t>Зарплата, руб.</t>
  </si>
  <si>
    <t>Зарплата, у. е.</t>
  </si>
  <si>
    <t>Средняя 
зарплата</t>
  </si>
  <si>
    <t>Максимальная 
зарплата</t>
  </si>
  <si>
    <t>Минимальная 
зарплата</t>
  </si>
  <si>
    <t>Е.Е.Еремина</t>
  </si>
  <si>
    <t>Рост, см</t>
  </si>
  <si>
    <t>Вес, кг</t>
  </si>
  <si>
    <t>Количество по полю Пол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</si>
</sst>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0" xfId="0" applyFont="1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top"/>
    </xf>
    <xf numFmtId="14" fontId="2" fillId="0" borderId="0" xfId="0" applyNumberFormat="1" applyFont="1"/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 vertical="top"/>
    </xf>
    <xf numFmtId="2" fontId="2" fillId="0" borderId="3" xfId="0" applyNumberFormat="1" applyFont="1" applyBorder="1" applyAlignment="1">
      <alignment horizontal="center"/>
    </xf>
    <xf numFmtId="14" fontId="2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1" fontId="2" fillId="0" borderId="3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0" xfId="0" pivotButton="1"/>
  </cellXfs>
  <cellStyles count="1">
    <cellStyle name="Обычный" xfId="0" builtinId="0"/>
  </cellStyles>
  <dxfs count="6">
    <dxf>
      <font>
        <color theme="4" tint="0.79998168889431442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0.79998168889431442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0.79998168889431442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Показатели</a:t>
            </a:r>
            <a:r>
              <a:rPr lang="ru-RU" baseline="0"/>
              <a:t> роста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'[1]Показатели Роста'!$B$1</c:f>
              <c:strCache>
                <c:ptCount val="1"/>
                <c:pt idx="0">
                  <c:v>Рост, см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  <a:sp3d/>
          </c:spPr>
          <c:invertIfNegative val="0"/>
          <c:cat>
            <c:strRef>
              <c:f>'[1]Показатели Роста'!$A$2:$A$21</c:f>
              <c:strCache>
                <c:ptCount val="20"/>
                <c:pt idx="0">
                  <c:v>Александров</c:v>
                </c:pt>
                <c:pt idx="1">
                  <c:v>Андреев</c:v>
                </c:pt>
                <c:pt idx="2">
                  <c:v>Борисов</c:v>
                </c:pt>
                <c:pt idx="3">
                  <c:v>Быстров</c:v>
                </c:pt>
                <c:pt idx="4">
                  <c:v>Веселов</c:v>
                </c:pt>
                <c:pt idx="5">
                  <c:v>Гаврилова</c:v>
                </c:pt>
                <c:pt idx="6">
                  <c:v>Давыдов</c:v>
                </c:pt>
                <c:pt idx="7">
                  <c:v>Еремина</c:v>
                </c:pt>
                <c:pt idx="8">
                  <c:v>Зайцева</c:v>
                </c:pt>
                <c:pt idx="9">
                  <c:v>Иванов</c:v>
                </c:pt>
                <c:pt idx="10">
                  <c:v>Кислов</c:v>
                </c:pt>
                <c:pt idx="11">
                  <c:v>Клюева</c:v>
                </c:pt>
                <c:pt idx="12">
                  <c:v>Красилова</c:v>
                </c:pt>
                <c:pt idx="13">
                  <c:v>Краснов</c:v>
                </c:pt>
                <c:pt idx="14">
                  <c:v>Кузьмин</c:v>
                </c:pt>
                <c:pt idx="15">
                  <c:v>Орлова</c:v>
                </c:pt>
                <c:pt idx="16">
                  <c:v>Синельников</c:v>
                </c:pt>
                <c:pt idx="17">
                  <c:v>Усков</c:v>
                </c:pt>
                <c:pt idx="18">
                  <c:v>Хролов</c:v>
                </c:pt>
                <c:pt idx="19">
                  <c:v>Шведов</c:v>
                </c:pt>
              </c:strCache>
            </c:strRef>
          </c:cat>
          <c:val>
            <c:numRef>
              <c:f>'[1]Показатели Роста'!$B$2:$B$21</c:f>
              <c:numCache>
                <c:formatCode>0</c:formatCode>
                <c:ptCount val="20"/>
                <c:pt idx="0">
                  <c:v>157</c:v>
                </c:pt>
                <c:pt idx="1">
                  <c:v>189</c:v>
                </c:pt>
                <c:pt idx="2">
                  <c:v>180</c:v>
                </c:pt>
                <c:pt idx="3">
                  <c:v>176</c:v>
                </c:pt>
                <c:pt idx="4">
                  <c:v>171</c:v>
                </c:pt>
                <c:pt idx="5">
                  <c:v>162</c:v>
                </c:pt>
                <c:pt idx="6">
                  <c:v>198</c:v>
                </c:pt>
                <c:pt idx="7">
                  <c:v>195</c:v>
                </c:pt>
                <c:pt idx="8">
                  <c:v>158</c:v>
                </c:pt>
                <c:pt idx="9">
                  <c:v>184</c:v>
                </c:pt>
                <c:pt idx="10">
                  <c:v>175</c:v>
                </c:pt>
                <c:pt idx="11">
                  <c:v>202</c:v>
                </c:pt>
                <c:pt idx="12">
                  <c:v>156</c:v>
                </c:pt>
                <c:pt idx="13">
                  <c:v>150</c:v>
                </c:pt>
                <c:pt idx="14">
                  <c:v>178</c:v>
                </c:pt>
                <c:pt idx="15">
                  <c:v>168</c:v>
                </c:pt>
                <c:pt idx="16">
                  <c:v>185</c:v>
                </c:pt>
                <c:pt idx="17">
                  <c:v>155</c:v>
                </c:pt>
                <c:pt idx="18">
                  <c:v>188</c:v>
                </c:pt>
                <c:pt idx="19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C8-4937-8450-717FB7663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7814576"/>
        <c:axId val="127815824"/>
        <c:axId val="0"/>
      </c:bar3DChart>
      <c:catAx>
        <c:axId val="12781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815824"/>
        <c:crosses val="autoZero"/>
        <c:auto val="1"/>
        <c:lblAlgn val="ctr"/>
        <c:lblOffset val="100"/>
        <c:noMultiLvlLbl val="0"/>
      </c:catAx>
      <c:valAx>
        <c:axId val="127815824"/>
        <c:scaling>
          <c:orientation val="minMax"/>
          <c:max val="210"/>
          <c:min val="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81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Количество по полю Пол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Итог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636-42CD-AF21-F6D3E68CC20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636-42CD-AF21-F6D3E68CC208}"/>
              </c:ext>
            </c:extLst>
          </c:dPt>
          <c:cat>
            <c:strLit>
              <c:ptCount val="2"/>
              <c:pt idx="0">
                <c:v>Ж</c:v>
              </c:pt>
              <c:pt idx="1">
                <c:v>М</c:v>
              </c:pt>
            </c:strLit>
          </c:cat>
          <c:val>
            <c:numLit>
              <c:formatCode>General</c:formatCode>
              <c:ptCount val="2"/>
              <c:pt idx="0">
                <c:v>6</c:v>
              </c:pt>
              <c:pt idx="1">
                <c:v>14</c:v>
              </c:pt>
            </c:numLit>
          </c:val>
          <c:extLst>
            <c:ext xmlns:c16="http://schemas.microsoft.com/office/drawing/2014/chart" uri="{C3380CC4-5D6E-409C-BE32-E72D297353CC}">
              <c16:uniqueId val="{00000004-D636-42CD-AF21-F6D3E68CC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5986096"/>
        <c:axId val="265977360"/>
      </c:barChart>
      <c:catAx>
        <c:axId val="26598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5977360"/>
        <c:crosses val="autoZero"/>
        <c:auto val="1"/>
        <c:lblAlgn val="ctr"/>
        <c:lblOffset val="100"/>
        <c:noMultiLvlLbl val="0"/>
      </c:catAx>
      <c:valAx>
        <c:axId val="26597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598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0</xdr:row>
      <xdr:rowOff>14287</xdr:rowOff>
    </xdr:from>
    <xdr:to>
      <xdr:col>11</xdr:col>
      <xdr:colOff>390525</xdr:colOff>
      <xdr:row>11</xdr:row>
      <xdr:rowOff>119062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F0E5CF2-07AC-46CE-BCB0-A17E2EC6EB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1</xdr:row>
      <xdr:rowOff>100012</xdr:rowOff>
    </xdr:from>
    <xdr:to>
      <xdr:col>11</xdr:col>
      <xdr:colOff>28575</xdr:colOff>
      <xdr:row>15</xdr:row>
      <xdr:rowOff>176212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04D5A9A-D334-4A0D-B4C4-9151E45805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7;&#1087;&#1080;&#1089;&#1086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отрудники"/>
      <sheetName val="Возраст"/>
      <sheetName val="Пенсионеры"/>
      <sheetName val="Сведения ЗП"/>
      <sheetName val="Показатели Роста"/>
      <sheetName val="Лист5"/>
      <sheetName val="Соотношение по полу"/>
    </sheetNames>
    <sheetDataSet>
      <sheetData sheetId="0"/>
      <sheetData sheetId="1"/>
      <sheetData sheetId="2"/>
      <sheetData sheetId="3"/>
      <sheetData sheetId="4">
        <row r="1">
          <cell r="B1" t="str">
            <v>Рост, см</v>
          </cell>
        </row>
        <row r="2">
          <cell r="A2" t="str">
            <v>Александров</v>
          </cell>
          <cell r="B2">
            <v>157</v>
          </cell>
        </row>
        <row r="3">
          <cell r="A3" t="str">
            <v>Андреев</v>
          </cell>
          <cell r="B3">
            <v>189</v>
          </cell>
        </row>
        <row r="4">
          <cell r="A4" t="str">
            <v>Борисов</v>
          </cell>
          <cell r="B4">
            <v>180</v>
          </cell>
        </row>
        <row r="5">
          <cell r="A5" t="str">
            <v>Быстров</v>
          </cell>
          <cell r="B5">
            <v>176</v>
          </cell>
        </row>
        <row r="6">
          <cell r="A6" t="str">
            <v>Веселов</v>
          </cell>
          <cell r="B6">
            <v>171</v>
          </cell>
        </row>
        <row r="7">
          <cell r="A7" t="str">
            <v>Гаврилова</v>
          </cell>
          <cell r="B7">
            <v>162</v>
          </cell>
        </row>
        <row r="8">
          <cell r="A8" t="str">
            <v>Давыдов</v>
          </cell>
          <cell r="B8">
            <v>198</v>
          </cell>
        </row>
        <row r="9">
          <cell r="A9" t="str">
            <v>Еремина</v>
          </cell>
          <cell r="B9">
            <v>195</v>
          </cell>
        </row>
        <row r="10">
          <cell r="A10" t="str">
            <v>Зайцева</v>
          </cell>
          <cell r="B10">
            <v>158</v>
          </cell>
        </row>
        <row r="11">
          <cell r="A11" t="str">
            <v>Иванов</v>
          </cell>
          <cell r="B11">
            <v>184</v>
          </cell>
        </row>
        <row r="12">
          <cell r="A12" t="str">
            <v>Кислов</v>
          </cell>
          <cell r="B12">
            <v>175</v>
          </cell>
        </row>
        <row r="13">
          <cell r="A13" t="str">
            <v>Клюева</v>
          </cell>
          <cell r="B13">
            <v>202</v>
          </cell>
        </row>
        <row r="14">
          <cell r="A14" t="str">
            <v>Красилова</v>
          </cell>
          <cell r="B14">
            <v>156</v>
          </cell>
        </row>
        <row r="15">
          <cell r="A15" t="str">
            <v>Краснов</v>
          </cell>
          <cell r="B15">
            <v>150</v>
          </cell>
        </row>
        <row r="16">
          <cell r="A16" t="str">
            <v>Кузьмин</v>
          </cell>
          <cell r="B16">
            <v>178</v>
          </cell>
        </row>
        <row r="17">
          <cell r="A17" t="str">
            <v>Орлова</v>
          </cell>
          <cell r="B17">
            <v>168</v>
          </cell>
        </row>
        <row r="18">
          <cell r="A18" t="str">
            <v>Синельников</v>
          </cell>
          <cell r="B18">
            <v>185</v>
          </cell>
        </row>
        <row r="19">
          <cell r="A19" t="str">
            <v>Усков</v>
          </cell>
          <cell r="B19">
            <v>155</v>
          </cell>
        </row>
        <row r="20">
          <cell r="A20" t="str">
            <v>Хролов</v>
          </cell>
          <cell r="B20">
            <v>188</v>
          </cell>
        </row>
        <row r="21">
          <cell r="A21" t="str">
            <v>Шведов</v>
          </cell>
          <cell r="B21">
            <v>170</v>
          </cell>
        </row>
      </sheetData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1057;&#1087;&#1080;&#1089;&#1086;&#1082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Кудлаш Иван" refreshedDate="46109.502753819441" createdVersion="7" refreshedVersion="7" minRefreshableVersion="3" recordCount="20" xr:uid="{E98EB122-CEDD-4158-9168-3CBCC8DBD86F}">
  <cacheSource type="worksheet">
    <worksheetSource ref="A1:D21" sheet="Соотношение по полу" r:id="rId2"/>
  </cacheSource>
  <cacheFields count="4">
    <cacheField name="Сотрудники" numFmtId="0">
      <sharedItems/>
    </cacheField>
    <cacheField name="Рост, см" numFmtId="1">
      <sharedItems containsSemiMixedTypes="0" containsString="0" containsNumber="1" containsInteger="1" minValue="150" maxValue="202"/>
    </cacheField>
    <cacheField name="Вес, кг" numFmtId="1">
      <sharedItems containsSemiMixedTypes="0" containsString="0" containsNumber="1" containsInteger="1" minValue="46" maxValue="100"/>
    </cacheField>
    <cacheField name="Пол" numFmtId="0">
      <sharedItems count="2">
        <s v="М"/>
        <s v="Ж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Александров"/>
    <n v="157"/>
    <n v="57"/>
    <x v="0"/>
  </r>
  <r>
    <s v="Андреев"/>
    <n v="189"/>
    <n v="83"/>
    <x v="0"/>
  </r>
  <r>
    <s v="Борисов"/>
    <n v="180"/>
    <n v="82"/>
    <x v="0"/>
  </r>
  <r>
    <s v="Быстров"/>
    <n v="176"/>
    <n v="70"/>
    <x v="0"/>
  </r>
  <r>
    <s v="Веселов"/>
    <n v="171"/>
    <n v="63"/>
    <x v="0"/>
  </r>
  <r>
    <s v="Гаврилова"/>
    <n v="162"/>
    <n v="58"/>
    <x v="1"/>
  </r>
  <r>
    <s v="Давыдов"/>
    <n v="198"/>
    <n v="90"/>
    <x v="0"/>
  </r>
  <r>
    <s v="Еремина"/>
    <n v="195"/>
    <n v="81"/>
    <x v="1"/>
  </r>
  <r>
    <s v="Зайцева"/>
    <n v="158"/>
    <n v="49"/>
    <x v="1"/>
  </r>
  <r>
    <s v="Иванов"/>
    <n v="184"/>
    <n v="80"/>
    <x v="0"/>
  </r>
  <r>
    <s v="Кислов"/>
    <n v="175"/>
    <n v="75"/>
    <x v="0"/>
  </r>
  <r>
    <s v="Клюева"/>
    <n v="202"/>
    <n v="100"/>
    <x v="1"/>
  </r>
  <r>
    <s v="Красилова"/>
    <n v="156"/>
    <n v="96"/>
    <x v="1"/>
  </r>
  <r>
    <s v="Краснов"/>
    <n v="150"/>
    <n v="46"/>
    <x v="0"/>
  </r>
  <r>
    <s v="Кузьмин"/>
    <n v="178"/>
    <n v="74"/>
    <x v="0"/>
  </r>
  <r>
    <s v="Орлова"/>
    <n v="168"/>
    <n v="62"/>
    <x v="1"/>
  </r>
  <r>
    <s v="Синельников"/>
    <n v="185"/>
    <n v="98"/>
    <x v="0"/>
  </r>
  <r>
    <s v="Усков"/>
    <n v="155"/>
    <n v="55"/>
    <x v="0"/>
  </r>
  <r>
    <s v="Хролов"/>
    <n v="188"/>
    <n v="78"/>
    <x v="0"/>
  </r>
  <r>
    <s v="Шведов"/>
    <n v="170"/>
    <n v="7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B6C121-721E-44FD-8F41-12ECD4D2BC78}" name="Сводная таблица1" cacheId="0" applyNumberFormats="0" applyBorderFormats="0" applyFontFormats="0" applyPatternFormats="0" applyAlignmentFormats="0" applyWidthHeightFormats="1" dataCaption="Значения" updatedVersion="7" minRefreshableVersion="3" useAutoFormatting="1" rowGrandTotals="0" colGrandTotals="0" itemPrintTitles="1" createdVersion="7" indent="0" compact="0" compactData="0" multipleFieldFilters="0" chartFormat="1">
  <location ref="A3:B5" firstHeaderRow="1" firstDataRow="1" firstDataCol="1"/>
  <pivotFields count="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2">
    <i>
      <x/>
    </i>
    <i>
      <x v="1"/>
    </i>
  </rowItems>
  <colItems count="1">
    <i/>
  </colItems>
  <dataFields count="1">
    <dataField name="Количество по полю Пол" fld="3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"/>
  <sheetViews>
    <sheetView topLeftCell="F1" workbookViewId="0">
      <selection activeCell="I22" sqref="I22"/>
    </sheetView>
  </sheetViews>
  <sheetFormatPr defaultRowHeight="18.75" x14ac:dyDescent="0.3"/>
  <cols>
    <col min="1" max="2" width="14.42578125" style="12" customWidth="1"/>
    <col min="3" max="3" width="20.42578125" style="4" customWidth="1"/>
    <col min="4" max="4" width="9.140625" style="13"/>
    <col min="5" max="5" width="20.28515625" style="4" bestFit="1" customWidth="1"/>
    <col min="6" max="6" width="33.5703125" style="13" bestFit="1" customWidth="1"/>
    <col min="7" max="7" width="22.7109375" style="13" customWidth="1"/>
    <col min="8" max="8" width="18" style="4" bestFit="1" customWidth="1"/>
    <col min="9" max="9" width="13.42578125" style="4" bestFit="1" customWidth="1"/>
    <col min="10" max="10" width="9.140625" style="4"/>
    <col min="11" max="11" width="13" style="4" bestFit="1" customWidth="1"/>
    <col min="12" max="20" width="9.140625" style="4"/>
  </cols>
  <sheetData>
    <row r="1" spans="1:1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 spans="1:11" x14ac:dyDescent="0.3">
      <c r="A2" s="5" t="s">
        <v>9</v>
      </c>
      <c r="B2" s="5">
        <v>1</v>
      </c>
      <c r="C2" s="6" t="s">
        <v>10</v>
      </c>
      <c r="D2" s="7" t="s">
        <v>11</v>
      </c>
      <c r="E2" s="8">
        <v>26440</v>
      </c>
      <c r="F2" s="7" t="s">
        <v>12</v>
      </c>
      <c r="G2" s="9">
        <v>36895</v>
      </c>
      <c r="H2" s="10">
        <f t="shared" ref="H2:H41" ca="1" si="0">(TODAY()-G2)/365</f>
        <v>25.282191780821918</v>
      </c>
      <c r="I2" s="10">
        <f t="shared" ref="I2:I41" ca="1" si="1">(TODAY()-E2)/365</f>
        <v>53.926027397260277</v>
      </c>
      <c r="K2" s="11"/>
    </row>
    <row r="3" spans="1:11" x14ac:dyDescent="0.3">
      <c r="A3" s="5" t="s">
        <v>13</v>
      </c>
      <c r="B3" s="5">
        <v>2</v>
      </c>
      <c r="C3" s="6" t="s">
        <v>14</v>
      </c>
      <c r="D3" s="7" t="s">
        <v>11</v>
      </c>
      <c r="E3" s="8">
        <v>22100</v>
      </c>
      <c r="F3" s="7" t="s">
        <v>15</v>
      </c>
      <c r="G3" s="9">
        <v>36895</v>
      </c>
      <c r="H3" s="10">
        <f t="shared" ca="1" si="0"/>
        <v>25.282191780821918</v>
      </c>
      <c r="I3" s="10">
        <f t="shared" ca="1" si="1"/>
        <v>65.816438356164383</v>
      </c>
    </row>
    <row r="4" spans="1:11" x14ac:dyDescent="0.3">
      <c r="A4" s="5" t="s">
        <v>16</v>
      </c>
      <c r="B4" s="5">
        <v>3</v>
      </c>
      <c r="C4" s="6" t="s">
        <v>17</v>
      </c>
      <c r="D4" s="7" t="s">
        <v>11</v>
      </c>
      <c r="E4" s="8">
        <v>24830</v>
      </c>
      <c r="F4" s="7" t="s">
        <v>18</v>
      </c>
      <c r="G4" s="9">
        <v>36895</v>
      </c>
      <c r="H4" s="10">
        <f t="shared" ca="1" si="0"/>
        <v>25.282191780821918</v>
      </c>
      <c r="I4" s="10">
        <f t="shared" ca="1" si="1"/>
        <v>58.336986301369862</v>
      </c>
    </row>
    <row r="5" spans="1:11" x14ac:dyDescent="0.3">
      <c r="A5" s="5" t="s">
        <v>19</v>
      </c>
      <c r="B5" s="5">
        <v>4</v>
      </c>
      <c r="C5" s="6" t="s">
        <v>20</v>
      </c>
      <c r="D5" s="7" t="s">
        <v>11</v>
      </c>
      <c r="E5" s="8">
        <v>22741</v>
      </c>
      <c r="F5" s="7" t="s">
        <v>18</v>
      </c>
      <c r="G5" s="9">
        <v>42047</v>
      </c>
      <c r="H5" s="10">
        <f t="shared" ca="1" si="0"/>
        <v>11.167123287671233</v>
      </c>
      <c r="I5" s="10">
        <f t="shared" ca="1" si="1"/>
        <v>64.060273972602744</v>
      </c>
    </row>
    <row r="6" spans="1:11" x14ac:dyDescent="0.3">
      <c r="A6" s="5" t="s">
        <v>21</v>
      </c>
      <c r="B6" s="5">
        <v>5</v>
      </c>
      <c r="C6" s="6" t="s">
        <v>22</v>
      </c>
      <c r="D6" s="7" t="s">
        <v>11</v>
      </c>
      <c r="E6" s="8">
        <v>25577</v>
      </c>
      <c r="F6" s="7" t="s">
        <v>23</v>
      </c>
      <c r="G6" s="9">
        <v>41764</v>
      </c>
      <c r="H6" s="10">
        <f t="shared" ca="1" si="0"/>
        <v>11.942465753424658</v>
      </c>
      <c r="I6" s="10">
        <f t="shared" ca="1" si="1"/>
        <v>56.290410958904111</v>
      </c>
    </row>
    <row r="7" spans="1:11" x14ac:dyDescent="0.3">
      <c r="A7" s="5" t="s">
        <v>24</v>
      </c>
      <c r="B7" s="5">
        <v>6</v>
      </c>
      <c r="C7" s="6" t="s">
        <v>25</v>
      </c>
      <c r="D7" s="7" t="s">
        <v>11</v>
      </c>
      <c r="E7" s="8">
        <v>28446</v>
      </c>
      <c r="F7" s="7" t="s">
        <v>26</v>
      </c>
      <c r="G7" s="9">
        <v>39837</v>
      </c>
      <c r="H7" s="10">
        <f t="shared" ca="1" si="0"/>
        <v>17.221917808219178</v>
      </c>
      <c r="I7" s="10">
        <f t="shared" ca="1" si="1"/>
        <v>48.43013698630137</v>
      </c>
    </row>
    <row r="8" spans="1:11" x14ac:dyDescent="0.3">
      <c r="A8" s="5" t="s">
        <v>27</v>
      </c>
      <c r="B8" s="5">
        <v>7</v>
      </c>
      <c r="C8" s="6" t="s">
        <v>28</v>
      </c>
      <c r="D8" s="7" t="s">
        <v>11</v>
      </c>
      <c r="E8" s="8">
        <v>24830</v>
      </c>
      <c r="F8" s="7" t="s">
        <v>29</v>
      </c>
      <c r="G8" s="9">
        <v>36903</v>
      </c>
      <c r="H8" s="10">
        <f t="shared" ca="1" si="0"/>
        <v>25.260273972602739</v>
      </c>
      <c r="I8" s="10">
        <f t="shared" ca="1" si="1"/>
        <v>58.336986301369862</v>
      </c>
    </row>
    <row r="9" spans="1:11" x14ac:dyDescent="0.3">
      <c r="A9" s="5" t="s">
        <v>30</v>
      </c>
      <c r="B9" s="5">
        <v>8</v>
      </c>
      <c r="C9" s="6" t="s">
        <v>31</v>
      </c>
      <c r="D9" s="7" t="s">
        <v>32</v>
      </c>
      <c r="E9" s="8">
        <v>35716</v>
      </c>
      <c r="F9" s="7" t="s">
        <v>33</v>
      </c>
      <c r="G9" s="9">
        <v>42377</v>
      </c>
      <c r="H9" s="10">
        <f t="shared" ca="1" si="0"/>
        <v>10.263013698630138</v>
      </c>
      <c r="I9" s="10">
        <f t="shared" ca="1" si="1"/>
        <v>28.512328767123286</v>
      </c>
    </row>
    <row r="10" spans="1:11" x14ac:dyDescent="0.3">
      <c r="A10" s="5" t="s">
        <v>34</v>
      </c>
      <c r="B10" s="5">
        <v>9</v>
      </c>
      <c r="C10" s="6" t="s">
        <v>35</v>
      </c>
      <c r="D10" s="7" t="s">
        <v>32</v>
      </c>
      <c r="E10" s="8">
        <v>29566</v>
      </c>
      <c r="F10" s="7" t="s">
        <v>36</v>
      </c>
      <c r="G10" s="9">
        <v>40559</v>
      </c>
      <c r="H10" s="10">
        <f t="shared" ca="1" si="0"/>
        <v>15.243835616438357</v>
      </c>
      <c r="I10" s="10">
        <f t="shared" ca="1" si="1"/>
        <v>45.361643835616441</v>
      </c>
    </row>
    <row r="11" spans="1:11" x14ac:dyDescent="0.3">
      <c r="A11" s="5" t="s">
        <v>37</v>
      </c>
      <c r="B11" s="5">
        <v>10</v>
      </c>
      <c r="C11" s="6" t="s">
        <v>38</v>
      </c>
      <c r="D11" s="7" t="s">
        <v>32</v>
      </c>
      <c r="E11" s="8">
        <v>22887</v>
      </c>
      <c r="F11" s="7" t="s">
        <v>39</v>
      </c>
      <c r="G11" s="9">
        <v>36895</v>
      </c>
      <c r="H11" s="10">
        <f t="shared" ca="1" si="0"/>
        <v>25.282191780821918</v>
      </c>
      <c r="I11" s="10">
        <f t="shared" ca="1" si="1"/>
        <v>63.660273972602738</v>
      </c>
    </row>
    <row r="12" spans="1:11" x14ac:dyDescent="0.3">
      <c r="A12" s="5" t="s">
        <v>40</v>
      </c>
      <c r="B12" s="5">
        <v>11</v>
      </c>
      <c r="C12" s="6" t="s">
        <v>41</v>
      </c>
      <c r="D12" s="7" t="s">
        <v>11</v>
      </c>
      <c r="E12" s="8">
        <v>24127</v>
      </c>
      <c r="F12" s="7" t="s">
        <v>42</v>
      </c>
      <c r="G12" s="9">
        <v>41802</v>
      </c>
      <c r="H12" s="10">
        <f t="shared" ca="1" si="0"/>
        <v>11.838356164383562</v>
      </c>
      <c r="I12" s="10">
        <f t="shared" ca="1" si="1"/>
        <v>60.263013698630139</v>
      </c>
    </row>
    <row r="13" spans="1:11" x14ac:dyDescent="0.3">
      <c r="A13" s="5" t="s">
        <v>43</v>
      </c>
      <c r="B13" s="5">
        <v>12</v>
      </c>
      <c r="C13" s="6" t="s">
        <v>44</v>
      </c>
      <c r="D13" s="7" t="s">
        <v>32</v>
      </c>
      <c r="E13" s="8">
        <v>23341</v>
      </c>
      <c r="F13" s="7" t="s">
        <v>45</v>
      </c>
      <c r="G13" s="9">
        <v>36895</v>
      </c>
      <c r="H13" s="10">
        <f t="shared" ca="1" si="0"/>
        <v>25.282191780821918</v>
      </c>
      <c r="I13" s="10">
        <f t="shared" ca="1" si="1"/>
        <v>62.416438356164385</v>
      </c>
    </row>
    <row r="14" spans="1:11" x14ac:dyDescent="0.3">
      <c r="A14" s="5" t="s">
        <v>46</v>
      </c>
      <c r="B14" s="5">
        <v>13</v>
      </c>
      <c r="C14" s="6" t="s">
        <v>47</v>
      </c>
      <c r="D14" s="7" t="s">
        <v>11</v>
      </c>
      <c r="E14" s="8">
        <v>27803</v>
      </c>
      <c r="F14" s="7" t="s">
        <v>18</v>
      </c>
      <c r="G14" s="9">
        <v>36895</v>
      </c>
      <c r="H14" s="10">
        <f t="shared" ca="1" si="0"/>
        <v>25.282191780821918</v>
      </c>
      <c r="I14" s="10">
        <f t="shared" ca="1" si="1"/>
        <v>50.19178082191781</v>
      </c>
    </row>
    <row r="15" spans="1:11" x14ac:dyDescent="0.3">
      <c r="A15" s="5" t="s">
        <v>48</v>
      </c>
      <c r="B15" s="5">
        <v>14</v>
      </c>
      <c r="C15" s="6" t="s">
        <v>49</v>
      </c>
      <c r="D15" s="7" t="s">
        <v>32</v>
      </c>
      <c r="E15" s="8">
        <v>30850</v>
      </c>
      <c r="F15" s="7" t="s">
        <v>50</v>
      </c>
      <c r="G15" s="9">
        <v>36895</v>
      </c>
      <c r="H15" s="10">
        <f t="shared" ca="1" si="0"/>
        <v>25.282191780821918</v>
      </c>
      <c r="I15" s="10">
        <f t="shared" ca="1" si="1"/>
        <v>41.843835616438355</v>
      </c>
    </row>
    <row r="16" spans="1:11" x14ac:dyDescent="0.3">
      <c r="A16" s="5" t="s">
        <v>51</v>
      </c>
      <c r="B16" s="5">
        <v>15</v>
      </c>
      <c r="C16" s="6" t="s">
        <v>52</v>
      </c>
      <c r="D16" s="7" t="s">
        <v>11</v>
      </c>
      <c r="E16" s="8">
        <v>28869</v>
      </c>
      <c r="F16" s="7" t="s">
        <v>18</v>
      </c>
      <c r="G16" s="9">
        <v>36895</v>
      </c>
      <c r="H16" s="10">
        <f t="shared" ca="1" si="0"/>
        <v>25.282191780821918</v>
      </c>
      <c r="I16" s="10">
        <f t="shared" ca="1" si="1"/>
        <v>47.271232876712325</v>
      </c>
    </row>
    <row r="17" spans="1:9" x14ac:dyDescent="0.3">
      <c r="A17" s="5" t="s">
        <v>53</v>
      </c>
      <c r="B17" s="5">
        <v>16</v>
      </c>
      <c r="C17" s="6" t="s">
        <v>54</v>
      </c>
      <c r="D17" s="7" t="s">
        <v>11</v>
      </c>
      <c r="E17" s="8">
        <v>25085</v>
      </c>
      <c r="F17" s="7" t="s">
        <v>55</v>
      </c>
      <c r="G17" s="9">
        <v>36895</v>
      </c>
      <c r="H17" s="10">
        <f t="shared" ca="1" si="0"/>
        <v>25.282191780821918</v>
      </c>
      <c r="I17" s="10">
        <f t="shared" ca="1" si="1"/>
        <v>57.638356164383559</v>
      </c>
    </row>
    <row r="18" spans="1:9" x14ac:dyDescent="0.3">
      <c r="A18" s="5" t="s">
        <v>56</v>
      </c>
      <c r="B18" s="5">
        <v>17</v>
      </c>
      <c r="C18" s="6" t="s">
        <v>57</v>
      </c>
      <c r="D18" s="7" t="s">
        <v>32</v>
      </c>
      <c r="E18" s="8">
        <v>30727</v>
      </c>
      <c r="F18" s="7" t="s">
        <v>36</v>
      </c>
      <c r="G18" s="9">
        <v>37990</v>
      </c>
      <c r="H18" s="10">
        <f t="shared" ca="1" si="0"/>
        <v>22.282191780821918</v>
      </c>
      <c r="I18" s="10">
        <f t="shared" ca="1" si="1"/>
        <v>42.180821917808217</v>
      </c>
    </row>
    <row r="19" spans="1:9" x14ac:dyDescent="0.3">
      <c r="A19" s="5" t="s">
        <v>58</v>
      </c>
      <c r="B19" s="5">
        <v>18</v>
      </c>
      <c r="C19" s="6" t="s">
        <v>59</v>
      </c>
      <c r="D19" s="7" t="s">
        <v>32</v>
      </c>
      <c r="E19" s="8">
        <v>29082</v>
      </c>
      <c r="F19" s="7" t="s">
        <v>36</v>
      </c>
      <c r="G19" s="9">
        <v>36895</v>
      </c>
      <c r="H19" s="10">
        <f t="shared" ca="1" si="0"/>
        <v>25.282191780821918</v>
      </c>
      <c r="I19" s="10">
        <f t="shared" ca="1" si="1"/>
        <v>46.68767123287671</v>
      </c>
    </row>
    <row r="20" spans="1:9" x14ac:dyDescent="0.3">
      <c r="A20" s="5" t="s">
        <v>60</v>
      </c>
      <c r="B20" s="5">
        <v>19</v>
      </c>
      <c r="C20" s="6" t="s">
        <v>61</v>
      </c>
      <c r="D20" s="7" t="s">
        <v>11</v>
      </c>
      <c r="E20" s="8">
        <v>28140</v>
      </c>
      <c r="F20" s="7" t="s">
        <v>62</v>
      </c>
      <c r="G20" s="9">
        <v>37513</v>
      </c>
      <c r="H20" s="10">
        <f t="shared" ca="1" si="0"/>
        <v>23.589041095890412</v>
      </c>
      <c r="I20" s="10">
        <f t="shared" ca="1" si="1"/>
        <v>49.268493150684932</v>
      </c>
    </row>
    <row r="21" spans="1:9" x14ac:dyDescent="0.3">
      <c r="A21" s="5" t="s">
        <v>63</v>
      </c>
      <c r="B21" s="5">
        <v>20</v>
      </c>
      <c r="C21" s="6" t="s">
        <v>64</v>
      </c>
      <c r="D21" s="7" t="s">
        <v>32</v>
      </c>
      <c r="E21" s="8">
        <v>22509</v>
      </c>
      <c r="F21" s="7" t="s">
        <v>65</v>
      </c>
      <c r="G21" s="9">
        <v>40947</v>
      </c>
      <c r="H21" s="10">
        <f t="shared" ca="1" si="0"/>
        <v>14.180821917808219</v>
      </c>
      <c r="I21" s="10">
        <f t="shared" ca="1" si="1"/>
        <v>64.69589041095891</v>
      </c>
    </row>
    <row r="22" spans="1:9" x14ac:dyDescent="0.3">
      <c r="A22" s="5" t="s">
        <v>66</v>
      </c>
      <c r="B22" s="5">
        <v>21</v>
      </c>
      <c r="C22" s="6" t="s">
        <v>67</v>
      </c>
      <c r="D22" s="7" t="s">
        <v>32</v>
      </c>
      <c r="E22" s="8">
        <v>28118</v>
      </c>
      <c r="F22" s="7" t="s">
        <v>68</v>
      </c>
      <c r="G22" s="9">
        <v>36895</v>
      </c>
      <c r="H22" s="10">
        <f t="shared" ca="1" si="0"/>
        <v>25.282191780821918</v>
      </c>
      <c r="I22" s="10">
        <f t="shared" ca="1" si="1"/>
        <v>49.328767123287669</v>
      </c>
    </row>
    <row r="23" spans="1:9" x14ac:dyDescent="0.3">
      <c r="A23" s="5">
        <v>3</v>
      </c>
      <c r="B23" s="5">
        <v>22</v>
      </c>
      <c r="C23" s="6" t="s">
        <v>69</v>
      </c>
      <c r="D23" s="7" t="s">
        <v>11</v>
      </c>
      <c r="E23" s="8">
        <v>25237</v>
      </c>
      <c r="F23" s="7" t="s">
        <v>18</v>
      </c>
      <c r="G23" s="9">
        <v>39469</v>
      </c>
      <c r="H23" s="10">
        <f t="shared" ca="1" si="0"/>
        <v>18.230136986301371</v>
      </c>
      <c r="I23" s="10">
        <f t="shared" ca="1" si="1"/>
        <v>57.221917808219175</v>
      </c>
    </row>
    <row r="24" spans="1:9" x14ac:dyDescent="0.3">
      <c r="A24" s="5" t="s">
        <v>70</v>
      </c>
      <c r="B24" s="5">
        <v>23</v>
      </c>
      <c r="C24" s="6" t="s">
        <v>71</v>
      </c>
      <c r="D24" s="7" t="s">
        <v>11</v>
      </c>
      <c r="E24" s="8">
        <v>24069</v>
      </c>
      <c r="F24" s="7" t="s">
        <v>72</v>
      </c>
      <c r="G24" s="9">
        <v>38728</v>
      </c>
      <c r="H24" s="10">
        <f t="shared" ca="1" si="0"/>
        <v>20.260273972602739</v>
      </c>
      <c r="I24" s="10">
        <f t="shared" ca="1" si="1"/>
        <v>60.421917808219177</v>
      </c>
    </row>
    <row r="25" spans="1:9" x14ac:dyDescent="0.3">
      <c r="A25" s="5" t="s">
        <v>73</v>
      </c>
      <c r="B25" s="5">
        <v>24</v>
      </c>
      <c r="C25" s="6" t="s">
        <v>74</v>
      </c>
      <c r="D25" s="7" t="s">
        <v>32</v>
      </c>
      <c r="E25" s="8">
        <v>35526</v>
      </c>
      <c r="F25" s="7" t="s">
        <v>18</v>
      </c>
      <c r="G25" s="9">
        <v>42373</v>
      </c>
      <c r="H25" s="10">
        <f t="shared" ca="1" si="0"/>
        <v>10.273972602739725</v>
      </c>
      <c r="I25" s="10">
        <f t="shared" ca="1" si="1"/>
        <v>29.032876712328768</v>
      </c>
    </row>
    <row r="26" spans="1:9" x14ac:dyDescent="0.3">
      <c r="A26" s="5" t="s">
        <v>75</v>
      </c>
      <c r="B26" s="5">
        <v>25</v>
      </c>
      <c r="C26" s="6" t="s">
        <v>76</v>
      </c>
      <c r="D26" s="7" t="s">
        <v>32</v>
      </c>
      <c r="E26" s="8">
        <v>30102</v>
      </c>
      <c r="F26" s="7" t="s">
        <v>77</v>
      </c>
      <c r="G26" s="9">
        <v>36895</v>
      </c>
      <c r="H26" s="10">
        <f t="shared" ca="1" si="0"/>
        <v>25.282191780821918</v>
      </c>
      <c r="I26" s="10">
        <f t="shared" ca="1" si="1"/>
        <v>43.893150684931506</v>
      </c>
    </row>
    <row r="27" spans="1:9" x14ac:dyDescent="0.3">
      <c r="A27" s="5" t="s">
        <v>78</v>
      </c>
      <c r="B27" s="5">
        <v>26</v>
      </c>
      <c r="C27" s="6" t="s">
        <v>79</v>
      </c>
      <c r="D27" s="7" t="s">
        <v>11</v>
      </c>
      <c r="E27" s="8">
        <v>35716</v>
      </c>
      <c r="F27" s="7" t="s">
        <v>80</v>
      </c>
      <c r="G27" s="9">
        <v>42008</v>
      </c>
      <c r="H27" s="10">
        <f t="shared" ca="1" si="0"/>
        <v>11.273972602739725</v>
      </c>
      <c r="I27" s="10">
        <f t="shared" ca="1" si="1"/>
        <v>28.512328767123286</v>
      </c>
    </row>
    <row r="28" spans="1:9" x14ac:dyDescent="0.3">
      <c r="A28" s="5" t="s">
        <v>81</v>
      </c>
      <c r="B28" s="5">
        <v>27</v>
      </c>
      <c r="C28" s="6" t="s">
        <v>82</v>
      </c>
      <c r="D28" s="7" t="s">
        <v>32</v>
      </c>
      <c r="E28" s="8">
        <v>22540</v>
      </c>
      <c r="F28" s="7" t="s">
        <v>83</v>
      </c>
      <c r="G28" s="9">
        <v>36895</v>
      </c>
      <c r="H28" s="10">
        <f t="shared" ca="1" si="0"/>
        <v>25.282191780821918</v>
      </c>
      <c r="I28" s="10">
        <f t="shared" ca="1" si="1"/>
        <v>64.610958904109594</v>
      </c>
    </row>
    <row r="29" spans="1:9" x14ac:dyDescent="0.3">
      <c r="A29" s="5" t="s">
        <v>84</v>
      </c>
      <c r="B29" s="5">
        <v>28</v>
      </c>
      <c r="C29" s="6" t="s">
        <v>85</v>
      </c>
      <c r="D29" s="7" t="s">
        <v>11</v>
      </c>
      <c r="E29" s="8">
        <v>32521</v>
      </c>
      <c r="F29" s="7" t="s">
        <v>80</v>
      </c>
      <c r="G29" s="9">
        <v>39674</v>
      </c>
      <c r="H29" s="10">
        <f t="shared" ca="1" si="0"/>
        <v>17.668493150684931</v>
      </c>
      <c r="I29" s="10">
        <f t="shared" ca="1" si="1"/>
        <v>37.265753424657532</v>
      </c>
    </row>
    <row r="30" spans="1:9" x14ac:dyDescent="0.3">
      <c r="A30" s="5" t="s">
        <v>86</v>
      </c>
      <c r="B30" s="5">
        <v>29</v>
      </c>
      <c r="C30" s="6" t="s">
        <v>87</v>
      </c>
      <c r="D30" s="7" t="s">
        <v>11</v>
      </c>
      <c r="E30" s="8">
        <v>28623</v>
      </c>
      <c r="F30" s="7" t="s">
        <v>88</v>
      </c>
      <c r="G30" s="9">
        <v>37262</v>
      </c>
      <c r="H30" s="10">
        <f t="shared" ca="1" si="0"/>
        <v>24.276712328767122</v>
      </c>
      <c r="I30" s="10">
        <f t="shared" ca="1" si="1"/>
        <v>47.945205479452056</v>
      </c>
    </row>
    <row r="31" spans="1:9" x14ac:dyDescent="0.3">
      <c r="A31" s="5" t="s">
        <v>89</v>
      </c>
      <c r="B31" s="5">
        <v>30</v>
      </c>
      <c r="C31" s="6" t="s">
        <v>90</v>
      </c>
      <c r="D31" s="7" t="s">
        <v>11</v>
      </c>
      <c r="E31" s="8">
        <v>29800</v>
      </c>
      <c r="F31" s="7" t="s">
        <v>91</v>
      </c>
      <c r="G31" s="9">
        <v>36895</v>
      </c>
      <c r="H31" s="10">
        <f t="shared" ca="1" si="0"/>
        <v>25.282191780821918</v>
      </c>
      <c r="I31" s="10">
        <f t="shared" ca="1" si="1"/>
        <v>44.720547945205482</v>
      </c>
    </row>
    <row r="32" spans="1:9" x14ac:dyDescent="0.3">
      <c r="A32" s="5" t="s">
        <v>92</v>
      </c>
      <c r="B32" s="5">
        <v>31</v>
      </c>
      <c r="C32" s="6" t="s">
        <v>93</v>
      </c>
      <c r="D32" s="7" t="s">
        <v>11</v>
      </c>
      <c r="E32" s="8">
        <v>20130</v>
      </c>
      <c r="F32" s="7" t="s">
        <v>94</v>
      </c>
      <c r="G32" s="9">
        <v>36895</v>
      </c>
      <c r="H32" s="10">
        <f t="shared" ca="1" si="0"/>
        <v>25.282191780821918</v>
      </c>
      <c r="I32" s="10">
        <f t="shared" ca="1" si="1"/>
        <v>71.213698630136989</v>
      </c>
    </row>
    <row r="33" spans="1:9" x14ac:dyDescent="0.3">
      <c r="A33" s="5" t="s">
        <v>95</v>
      </c>
      <c r="B33" s="5">
        <v>32</v>
      </c>
      <c r="C33" s="6" t="s">
        <v>96</v>
      </c>
      <c r="D33" s="7" t="s">
        <v>11</v>
      </c>
      <c r="E33" s="8">
        <v>26444</v>
      </c>
      <c r="F33" s="7" t="s">
        <v>97</v>
      </c>
      <c r="G33" s="9">
        <v>36895</v>
      </c>
      <c r="H33" s="10">
        <f t="shared" ca="1" si="0"/>
        <v>25.282191780821918</v>
      </c>
      <c r="I33" s="10">
        <f t="shared" ca="1" si="1"/>
        <v>53.915068493150685</v>
      </c>
    </row>
    <row r="34" spans="1:9" x14ac:dyDescent="0.3">
      <c r="A34" s="5" t="s">
        <v>98</v>
      </c>
      <c r="B34" s="5">
        <v>33</v>
      </c>
      <c r="C34" s="6" t="s">
        <v>99</v>
      </c>
      <c r="D34" s="7" t="s">
        <v>11</v>
      </c>
      <c r="E34" s="8">
        <v>22601</v>
      </c>
      <c r="F34" s="7" t="s">
        <v>83</v>
      </c>
      <c r="G34" s="9">
        <v>37394</v>
      </c>
      <c r="H34" s="10">
        <f t="shared" ca="1" si="0"/>
        <v>23.915068493150685</v>
      </c>
      <c r="I34" s="10">
        <f t="shared" ca="1" si="1"/>
        <v>64.443835616438349</v>
      </c>
    </row>
    <row r="35" spans="1:9" x14ac:dyDescent="0.3">
      <c r="A35" s="5" t="s">
        <v>100</v>
      </c>
      <c r="B35" s="5">
        <v>34</v>
      </c>
      <c r="C35" s="6" t="s">
        <v>101</v>
      </c>
      <c r="D35" s="7" t="s">
        <v>11</v>
      </c>
      <c r="E35" s="8">
        <v>29009</v>
      </c>
      <c r="F35" s="7" t="s">
        <v>102</v>
      </c>
      <c r="G35" s="9">
        <v>40202</v>
      </c>
      <c r="H35" s="10">
        <f t="shared" ca="1" si="0"/>
        <v>16.221917808219178</v>
      </c>
      <c r="I35" s="10">
        <f t="shared" ca="1" si="1"/>
        <v>46.887671232876713</v>
      </c>
    </row>
    <row r="36" spans="1:9" x14ac:dyDescent="0.3">
      <c r="A36" s="5" t="s">
        <v>103</v>
      </c>
      <c r="B36" s="5">
        <v>35</v>
      </c>
      <c r="C36" s="6" t="s">
        <v>104</v>
      </c>
      <c r="D36" s="7" t="s">
        <v>32</v>
      </c>
      <c r="E36" s="8">
        <v>23351</v>
      </c>
      <c r="F36" s="7" t="s">
        <v>105</v>
      </c>
      <c r="G36" s="9">
        <v>36895</v>
      </c>
      <c r="H36" s="10">
        <f t="shared" ca="1" si="0"/>
        <v>25.282191780821918</v>
      </c>
      <c r="I36" s="10">
        <f t="shared" ca="1" si="1"/>
        <v>62.389041095890413</v>
      </c>
    </row>
    <row r="37" spans="1:9" x14ac:dyDescent="0.3">
      <c r="A37" s="5" t="s">
        <v>106</v>
      </c>
      <c r="B37" s="5">
        <v>36</v>
      </c>
      <c r="C37" s="6" t="s">
        <v>107</v>
      </c>
      <c r="D37" s="7" t="s">
        <v>11</v>
      </c>
      <c r="E37" s="8">
        <v>22178</v>
      </c>
      <c r="F37" s="7" t="s">
        <v>108</v>
      </c>
      <c r="G37" s="9">
        <v>37961</v>
      </c>
      <c r="H37" s="10">
        <f t="shared" ca="1" si="0"/>
        <v>22.361643835616437</v>
      </c>
      <c r="I37" s="10">
        <f t="shared" ca="1" si="1"/>
        <v>65.602739726027394</v>
      </c>
    </row>
    <row r="38" spans="1:9" x14ac:dyDescent="0.3">
      <c r="A38" s="5" t="s">
        <v>109</v>
      </c>
      <c r="B38" s="5">
        <v>37</v>
      </c>
      <c r="C38" s="6" t="s">
        <v>110</v>
      </c>
      <c r="D38" s="7" t="s">
        <v>11</v>
      </c>
      <c r="E38" s="8">
        <v>24249</v>
      </c>
      <c r="F38" s="7" t="s">
        <v>111</v>
      </c>
      <c r="G38" s="9">
        <v>36895</v>
      </c>
      <c r="H38" s="10">
        <f t="shared" ca="1" si="0"/>
        <v>25.282191780821918</v>
      </c>
      <c r="I38" s="10">
        <f t="shared" ca="1" si="1"/>
        <v>59.92876712328767</v>
      </c>
    </row>
    <row r="39" spans="1:9" x14ac:dyDescent="0.3">
      <c r="A39" s="5" t="s">
        <v>112</v>
      </c>
      <c r="B39" s="5">
        <v>38</v>
      </c>
      <c r="C39" s="6" t="s">
        <v>113</v>
      </c>
      <c r="D39" s="7" t="s">
        <v>11</v>
      </c>
      <c r="E39" s="8">
        <v>25239</v>
      </c>
      <c r="F39" s="7" t="s">
        <v>114</v>
      </c>
      <c r="G39" s="9">
        <v>36895</v>
      </c>
      <c r="H39" s="10">
        <f t="shared" ca="1" si="0"/>
        <v>25.282191780821918</v>
      </c>
      <c r="I39" s="10">
        <f t="shared" ca="1" si="1"/>
        <v>57.216438356164382</v>
      </c>
    </row>
    <row r="40" spans="1:9" x14ac:dyDescent="0.3">
      <c r="A40" s="5" t="s">
        <v>115</v>
      </c>
      <c r="B40" s="5">
        <v>39</v>
      </c>
      <c r="C40" s="6" t="s">
        <v>116</v>
      </c>
      <c r="D40" s="7" t="s">
        <v>11</v>
      </c>
      <c r="E40" s="8">
        <v>35708</v>
      </c>
      <c r="F40" s="7" t="s">
        <v>117</v>
      </c>
      <c r="G40" s="9">
        <v>41695</v>
      </c>
      <c r="H40" s="10">
        <f t="shared" ca="1" si="0"/>
        <v>12.131506849315068</v>
      </c>
      <c r="I40" s="10">
        <f t="shared" ca="1" si="1"/>
        <v>28.534246575342465</v>
      </c>
    </row>
    <row r="41" spans="1:9" x14ac:dyDescent="0.3">
      <c r="A41" s="5" t="s">
        <v>118</v>
      </c>
      <c r="B41" s="5">
        <v>40</v>
      </c>
      <c r="C41" s="6" t="s">
        <v>119</v>
      </c>
      <c r="D41" s="7" t="s">
        <v>32</v>
      </c>
      <c r="E41" s="8">
        <v>22591</v>
      </c>
      <c r="F41" s="7" t="s">
        <v>108</v>
      </c>
      <c r="G41" s="9">
        <v>42008</v>
      </c>
      <c r="H41" s="10">
        <f t="shared" ca="1" si="0"/>
        <v>11.273972602739725</v>
      </c>
      <c r="I41" s="10">
        <f t="shared" ca="1" si="1"/>
        <v>64.471232876712335</v>
      </c>
    </row>
    <row r="42" spans="1:9" x14ac:dyDescent="0.3">
      <c r="C42" s="6" t="s">
        <v>120</v>
      </c>
      <c r="D42" s="7">
        <f>COUNTIF(D2:D41, "ж")</f>
        <v>14</v>
      </c>
      <c r="E42" s="11"/>
    </row>
    <row r="43" spans="1:9" x14ac:dyDescent="0.3">
      <c r="C43" s="6" t="s">
        <v>121</v>
      </c>
      <c r="D43" s="7">
        <f>COUNTIF(D2:D41, "м")</f>
        <v>26</v>
      </c>
    </row>
  </sheetData>
  <conditionalFormatting sqref="D2:D41">
    <cfRule type="containsText" dxfId="5" priority="1" operator="containsText" text="Ж">
      <formula>NOT(ISERROR(SEARCH("Ж",D2)))</formula>
    </cfRule>
    <cfRule type="containsText" dxfId="4" priority="2" operator="containsText" text="М">
      <formula>NOT(ISERROR(SEARCH("М",D2)))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F75BB-0A97-4485-893C-B0D567F8A57D}">
  <dimension ref="A1:I10"/>
  <sheetViews>
    <sheetView workbookViewId="0">
      <selection sqref="A1:XFD1048576"/>
    </sheetView>
  </sheetViews>
  <sheetFormatPr defaultRowHeight="15" x14ac:dyDescent="0.25"/>
  <cols>
    <col min="1" max="1" width="10.85546875" bestFit="1" customWidth="1"/>
    <col min="2" max="2" width="9.42578125" bestFit="1" customWidth="1"/>
    <col min="3" max="3" width="17.7109375" bestFit="1" customWidth="1"/>
    <col min="4" max="4" width="6.28515625" bestFit="1" customWidth="1"/>
    <col min="5" max="5" width="20.28515625" bestFit="1" customWidth="1"/>
    <col min="6" max="6" width="25" bestFit="1" customWidth="1"/>
    <col min="7" max="7" width="14.7109375" bestFit="1" customWidth="1"/>
    <col min="8" max="8" width="18" bestFit="1" customWidth="1"/>
    <col min="9" max="9" width="11.140625" bestFit="1" customWidth="1"/>
  </cols>
  <sheetData>
    <row r="1" spans="1:9" ht="18.7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 spans="1:9" ht="18.75" x14ac:dyDescent="0.3">
      <c r="A2" s="5" t="s">
        <v>30</v>
      </c>
      <c r="B2" s="5">
        <v>8</v>
      </c>
      <c r="C2" s="6" t="s">
        <v>31</v>
      </c>
      <c r="D2" s="7" t="s">
        <v>32</v>
      </c>
      <c r="E2" s="8">
        <v>35716</v>
      </c>
      <c r="F2" s="7" t="s">
        <v>33</v>
      </c>
      <c r="G2" s="9">
        <v>42377</v>
      </c>
      <c r="H2" s="10">
        <v>10.224657534246575</v>
      </c>
      <c r="I2" s="10">
        <v>28.473972602739725</v>
      </c>
    </row>
    <row r="3" spans="1:9" ht="18.75" x14ac:dyDescent="0.3">
      <c r="A3" s="5" t="s">
        <v>48</v>
      </c>
      <c r="B3" s="5">
        <v>14</v>
      </c>
      <c r="C3" s="6" t="s">
        <v>49</v>
      </c>
      <c r="D3" s="7" t="s">
        <v>32</v>
      </c>
      <c r="E3" s="8">
        <v>30850</v>
      </c>
      <c r="F3" s="7" t="s">
        <v>50</v>
      </c>
      <c r="G3" s="9">
        <v>36895</v>
      </c>
      <c r="H3" s="10">
        <v>25.243835616438357</v>
      </c>
      <c r="I3" s="10">
        <v>41.805479452054797</v>
      </c>
    </row>
    <row r="4" spans="1:9" ht="18.75" x14ac:dyDescent="0.3">
      <c r="A4" s="5" t="s">
        <v>56</v>
      </c>
      <c r="B4" s="5">
        <v>17</v>
      </c>
      <c r="C4" s="6" t="s">
        <v>57</v>
      </c>
      <c r="D4" s="7" t="s">
        <v>32</v>
      </c>
      <c r="E4" s="8">
        <v>30727</v>
      </c>
      <c r="F4" s="7" t="s">
        <v>36</v>
      </c>
      <c r="G4" s="9">
        <v>37990</v>
      </c>
      <c r="H4" s="10">
        <v>22.243835616438357</v>
      </c>
      <c r="I4" s="10">
        <v>42.142465753424659</v>
      </c>
    </row>
    <row r="5" spans="1:9" ht="18.75" x14ac:dyDescent="0.3">
      <c r="A5" s="5" t="s">
        <v>73</v>
      </c>
      <c r="B5" s="5">
        <v>24</v>
      </c>
      <c r="C5" s="6" t="s">
        <v>74</v>
      </c>
      <c r="D5" s="7" t="s">
        <v>32</v>
      </c>
      <c r="E5" s="8">
        <v>35526</v>
      </c>
      <c r="F5" s="7" t="s">
        <v>18</v>
      </c>
      <c r="G5" s="9">
        <v>42373</v>
      </c>
      <c r="H5" s="10">
        <v>10.235616438356164</v>
      </c>
      <c r="I5" s="10">
        <v>28.994520547945207</v>
      </c>
    </row>
    <row r="6" spans="1:9" ht="18.75" x14ac:dyDescent="0.3">
      <c r="A6" s="5" t="s">
        <v>75</v>
      </c>
      <c r="B6" s="5">
        <v>25</v>
      </c>
      <c r="C6" s="6" t="s">
        <v>76</v>
      </c>
      <c r="D6" s="7" t="s">
        <v>32</v>
      </c>
      <c r="E6" s="8">
        <v>30102</v>
      </c>
      <c r="F6" s="7" t="s">
        <v>77</v>
      </c>
      <c r="G6" s="9">
        <v>36895</v>
      </c>
      <c r="H6" s="10">
        <v>25.243835616438357</v>
      </c>
      <c r="I6" s="10">
        <v>43.854794520547948</v>
      </c>
    </row>
    <row r="7" spans="1:9" ht="18.75" x14ac:dyDescent="0.3">
      <c r="A7" s="5" t="s">
        <v>78</v>
      </c>
      <c r="B7" s="5">
        <v>26</v>
      </c>
      <c r="C7" s="6" t="s">
        <v>79</v>
      </c>
      <c r="D7" s="7" t="s">
        <v>11</v>
      </c>
      <c r="E7" s="8">
        <v>35716</v>
      </c>
      <c r="F7" s="7" t="s">
        <v>80</v>
      </c>
      <c r="G7" s="9">
        <v>42008</v>
      </c>
      <c r="H7" s="10">
        <v>11.235616438356164</v>
      </c>
      <c r="I7" s="10">
        <v>28.473972602739725</v>
      </c>
    </row>
    <row r="8" spans="1:9" ht="18.75" x14ac:dyDescent="0.3">
      <c r="A8" s="5" t="s">
        <v>84</v>
      </c>
      <c r="B8" s="5">
        <v>28</v>
      </c>
      <c r="C8" s="6" t="s">
        <v>85</v>
      </c>
      <c r="D8" s="7" t="s">
        <v>11</v>
      </c>
      <c r="E8" s="8">
        <v>32521</v>
      </c>
      <c r="F8" s="7" t="s">
        <v>80</v>
      </c>
      <c r="G8" s="9">
        <v>39674</v>
      </c>
      <c r="H8" s="10">
        <v>17.63013698630137</v>
      </c>
      <c r="I8" s="10">
        <v>37.227397260273975</v>
      </c>
    </row>
    <row r="9" spans="1:9" ht="18.75" x14ac:dyDescent="0.3">
      <c r="A9" s="5" t="s">
        <v>89</v>
      </c>
      <c r="B9" s="5">
        <v>30</v>
      </c>
      <c r="C9" s="6" t="s">
        <v>90</v>
      </c>
      <c r="D9" s="7" t="s">
        <v>11</v>
      </c>
      <c r="E9" s="8">
        <v>29800</v>
      </c>
      <c r="F9" s="7" t="s">
        <v>91</v>
      </c>
      <c r="G9" s="9">
        <v>36895</v>
      </c>
      <c r="H9" s="10">
        <v>25.243835616438357</v>
      </c>
      <c r="I9" s="10">
        <v>44.682191780821917</v>
      </c>
    </row>
    <row r="10" spans="1:9" ht="18.75" x14ac:dyDescent="0.3">
      <c r="A10" s="5" t="s">
        <v>115</v>
      </c>
      <c r="B10" s="5">
        <v>39</v>
      </c>
      <c r="C10" s="6" t="s">
        <v>116</v>
      </c>
      <c r="D10" s="7" t="s">
        <v>11</v>
      </c>
      <c r="E10" s="8">
        <v>35708</v>
      </c>
      <c r="F10" s="7" t="s">
        <v>117</v>
      </c>
      <c r="G10" s="9">
        <v>41695</v>
      </c>
      <c r="H10" s="10">
        <v>12.093150684931507</v>
      </c>
      <c r="I10" s="10">
        <v>28.495890410958904</v>
      </c>
    </row>
  </sheetData>
  <conditionalFormatting sqref="D2:D10">
    <cfRule type="containsText" dxfId="3" priority="1" operator="containsText" text="Ж">
      <formula>NOT(ISERROR(SEARCH("Ж",D2)))</formula>
    </cfRule>
    <cfRule type="containsText" dxfId="2" priority="2" operator="containsText" text="М">
      <formula>NOT(ISERROR(SEARCH("М",D2)))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69C49-A111-4396-8252-2E43DE520336}">
  <dimension ref="A1:I21"/>
  <sheetViews>
    <sheetView workbookViewId="0">
      <selection activeCell="G2" sqref="G2"/>
    </sheetView>
  </sheetViews>
  <sheetFormatPr defaultRowHeight="15" x14ac:dyDescent="0.25"/>
  <cols>
    <col min="5" max="5" width="13" bestFit="1" customWidth="1"/>
    <col min="7" max="7" width="13" bestFit="1" customWidth="1"/>
  </cols>
  <sheetData>
    <row r="1" spans="1:9" ht="18.7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 spans="1:9" ht="18.75" x14ac:dyDescent="0.3">
      <c r="A2" s="5" t="s">
        <v>13</v>
      </c>
      <c r="B2" s="5">
        <v>2</v>
      </c>
      <c r="C2" s="6" t="s">
        <v>14</v>
      </c>
      <c r="D2" s="7" t="s">
        <v>11</v>
      </c>
      <c r="E2" s="8">
        <v>22100</v>
      </c>
      <c r="F2" s="7" t="s">
        <v>15</v>
      </c>
      <c r="G2" s="9">
        <v>36895</v>
      </c>
      <c r="H2" s="10">
        <v>25.243835616438357</v>
      </c>
      <c r="I2" s="10">
        <v>65.778082191780825</v>
      </c>
    </row>
    <row r="3" spans="1:9" ht="18.75" x14ac:dyDescent="0.3">
      <c r="A3" s="5" t="s">
        <v>16</v>
      </c>
      <c r="B3" s="5">
        <v>3</v>
      </c>
      <c r="C3" s="6" t="s">
        <v>17</v>
      </c>
      <c r="D3" s="7" t="s">
        <v>11</v>
      </c>
      <c r="E3" s="8">
        <v>24830</v>
      </c>
      <c r="F3" s="7" t="s">
        <v>18</v>
      </c>
      <c r="G3" s="9">
        <v>36895</v>
      </c>
      <c r="H3" s="10">
        <v>25.243835616438357</v>
      </c>
      <c r="I3" s="10">
        <v>58.298630136986304</v>
      </c>
    </row>
    <row r="4" spans="1:9" ht="18.75" x14ac:dyDescent="0.3">
      <c r="A4" s="5" t="s">
        <v>19</v>
      </c>
      <c r="B4" s="5">
        <v>4</v>
      </c>
      <c r="C4" s="6" t="s">
        <v>20</v>
      </c>
      <c r="D4" s="7" t="s">
        <v>11</v>
      </c>
      <c r="E4" s="8">
        <v>22741</v>
      </c>
      <c r="F4" s="7" t="s">
        <v>18</v>
      </c>
      <c r="G4" s="9">
        <v>42047</v>
      </c>
      <c r="H4" s="10">
        <v>11.128767123287671</v>
      </c>
      <c r="I4" s="10">
        <v>64.021917808219172</v>
      </c>
    </row>
    <row r="5" spans="1:9" ht="18.75" x14ac:dyDescent="0.3">
      <c r="A5" s="5" t="s">
        <v>21</v>
      </c>
      <c r="B5" s="5">
        <v>5</v>
      </c>
      <c r="C5" s="6" t="s">
        <v>22</v>
      </c>
      <c r="D5" s="7" t="s">
        <v>11</v>
      </c>
      <c r="E5" s="8">
        <v>25577</v>
      </c>
      <c r="F5" s="7" t="s">
        <v>23</v>
      </c>
      <c r="G5" s="9">
        <v>41764</v>
      </c>
      <c r="H5" s="10">
        <v>11.904109589041095</v>
      </c>
      <c r="I5" s="10">
        <v>56.252054794520546</v>
      </c>
    </row>
    <row r="6" spans="1:9" ht="18.75" x14ac:dyDescent="0.3">
      <c r="A6" s="5" t="s">
        <v>27</v>
      </c>
      <c r="B6" s="5">
        <v>7</v>
      </c>
      <c r="C6" s="6" t="s">
        <v>28</v>
      </c>
      <c r="D6" s="7" t="s">
        <v>11</v>
      </c>
      <c r="E6" s="8">
        <v>24830</v>
      </c>
      <c r="F6" s="7" t="s">
        <v>29</v>
      </c>
      <c r="G6" s="9">
        <v>36903</v>
      </c>
      <c r="H6" s="10">
        <v>25.221917808219178</v>
      </c>
      <c r="I6" s="10">
        <v>58.298630136986304</v>
      </c>
    </row>
    <row r="7" spans="1:9" ht="18.75" x14ac:dyDescent="0.3">
      <c r="A7" s="5" t="s">
        <v>37</v>
      </c>
      <c r="B7" s="5">
        <v>10</v>
      </c>
      <c r="C7" s="6" t="s">
        <v>38</v>
      </c>
      <c r="D7" s="7" t="s">
        <v>32</v>
      </c>
      <c r="E7" s="8">
        <v>22887</v>
      </c>
      <c r="F7" s="7" t="s">
        <v>39</v>
      </c>
      <c r="G7" s="9">
        <v>36895</v>
      </c>
      <c r="H7" s="10">
        <v>25.243835616438357</v>
      </c>
      <c r="I7" s="10">
        <v>63.62191780821918</v>
      </c>
    </row>
    <row r="8" spans="1:9" ht="18.75" x14ac:dyDescent="0.3">
      <c r="A8" s="5" t="s">
        <v>40</v>
      </c>
      <c r="B8" s="5">
        <v>11</v>
      </c>
      <c r="C8" s="6" t="s">
        <v>41</v>
      </c>
      <c r="D8" s="7" t="s">
        <v>11</v>
      </c>
      <c r="E8" s="8">
        <v>24127</v>
      </c>
      <c r="F8" s="7" t="s">
        <v>42</v>
      </c>
      <c r="G8" s="9">
        <v>41802</v>
      </c>
      <c r="H8" s="10">
        <v>11.8</v>
      </c>
      <c r="I8" s="10">
        <v>60.224657534246575</v>
      </c>
    </row>
    <row r="9" spans="1:9" ht="18.75" x14ac:dyDescent="0.3">
      <c r="A9" s="5" t="s">
        <v>43</v>
      </c>
      <c r="B9" s="5">
        <v>12</v>
      </c>
      <c r="C9" s="6" t="s">
        <v>44</v>
      </c>
      <c r="D9" s="7" t="s">
        <v>32</v>
      </c>
      <c r="E9" s="8">
        <v>23341</v>
      </c>
      <c r="F9" s="7" t="s">
        <v>45</v>
      </c>
      <c r="G9" s="9">
        <v>36895</v>
      </c>
      <c r="H9" s="10">
        <v>25.243835616438357</v>
      </c>
      <c r="I9" s="10">
        <v>62.37808219178082</v>
      </c>
    </row>
    <row r="10" spans="1:9" ht="18.75" x14ac:dyDescent="0.3">
      <c r="A10" s="5" t="s">
        <v>53</v>
      </c>
      <c r="B10" s="5">
        <v>16</v>
      </c>
      <c r="C10" s="6" t="s">
        <v>54</v>
      </c>
      <c r="D10" s="7" t="s">
        <v>11</v>
      </c>
      <c r="E10" s="8">
        <v>25085</v>
      </c>
      <c r="F10" s="7" t="s">
        <v>55</v>
      </c>
      <c r="G10" s="9">
        <v>36895</v>
      </c>
      <c r="H10" s="10">
        <v>25.243835616438357</v>
      </c>
      <c r="I10" s="10">
        <v>57.6</v>
      </c>
    </row>
    <row r="11" spans="1:9" ht="18.75" x14ac:dyDescent="0.3">
      <c r="A11" s="5" t="s">
        <v>63</v>
      </c>
      <c r="B11" s="5">
        <v>20</v>
      </c>
      <c r="C11" s="6" t="s">
        <v>64</v>
      </c>
      <c r="D11" s="7" t="s">
        <v>32</v>
      </c>
      <c r="E11" s="8">
        <v>22509</v>
      </c>
      <c r="F11" s="7" t="s">
        <v>65</v>
      </c>
      <c r="G11" s="9">
        <v>40947</v>
      </c>
      <c r="H11" s="10">
        <v>14.142465753424657</v>
      </c>
      <c r="I11" s="10">
        <v>64.657534246575338</v>
      </c>
    </row>
    <row r="12" spans="1:9" ht="18.75" x14ac:dyDescent="0.3">
      <c r="A12" s="5">
        <v>3</v>
      </c>
      <c r="B12" s="5">
        <v>22</v>
      </c>
      <c r="C12" s="6" t="s">
        <v>69</v>
      </c>
      <c r="D12" s="7" t="s">
        <v>11</v>
      </c>
      <c r="E12" s="8">
        <v>25237</v>
      </c>
      <c r="F12" s="7" t="s">
        <v>18</v>
      </c>
      <c r="G12" s="9">
        <v>39469</v>
      </c>
      <c r="H12" s="10">
        <v>18.19178082191781</v>
      </c>
      <c r="I12" s="10">
        <v>57.183561643835617</v>
      </c>
    </row>
    <row r="13" spans="1:9" ht="18.75" x14ac:dyDescent="0.3">
      <c r="A13" s="5" t="s">
        <v>70</v>
      </c>
      <c r="B13" s="5">
        <v>23</v>
      </c>
      <c r="C13" s="6" t="s">
        <v>71</v>
      </c>
      <c r="D13" s="7" t="s">
        <v>11</v>
      </c>
      <c r="E13" s="8">
        <v>24069</v>
      </c>
      <c r="F13" s="7" t="s">
        <v>72</v>
      </c>
      <c r="G13" s="9">
        <v>38728</v>
      </c>
      <c r="H13" s="10">
        <v>20.221917808219178</v>
      </c>
      <c r="I13" s="10">
        <v>60.38356164383562</v>
      </c>
    </row>
    <row r="14" spans="1:9" ht="18.75" x14ac:dyDescent="0.3">
      <c r="A14" s="5" t="s">
        <v>81</v>
      </c>
      <c r="B14" s="5">
        <v>27</v>
      </c>
      <c r="C14" s="6" t="s">
        <v>82</v>
      </c>
      <c r="D14" s="7" t="s">
        <v>32</v>
      </c>
      <c r="E14" s="8">
        <v>22540</v>
      </c>
      <c r="F14" s="7" t="s">
        <v>83</v>
      </c>
      <c r="G14" s="9">
        <v>36895</v>
      </c>
      <c r="H14" s="10">
        <v>25.243835616438357</v>
      </c>
      <c r="I14" s="10">
        <v>64.572602739726022</v>
      </c>
    </row>
    <row r="15" spans="1:9" ht="18.75" x14ac:dyDescent="0.3">
      <c r="A15" s="5" t="s">
        <v>92</v>
      </c>
      <c r="B15" s="5">
        <v>31</v>
      </c>
      <c r="C15" s="6" t="s">
        <v>93</v>
      </c>
      <c r="D15" s="7" t="s">
        <v>11</v>
      </c>
      <c r="E15" s="8">
        <v>20130</v>
      </c>
      <c r="F15" s="7" t="s">
        <v>94</v>
      </c>
      <c r="G15" s="9">
        <v>36895</v>
      </c>
      <c r="H15" s="10">
        <v>25.243835616438357</v>
      </c>
      <c r="I15" s="10">
        <v>71.175342465753431</v>
      </c>
    </row>
    <row r="16" spans="1:9" ht="18.75" x14ac:dyDescent="0.3">
      <c r="A16" s="5" t="s">
        <v>98</v>
      </c>
      <c r="B16" s="5">
        <v>33</v>
      </c>
      <c r="C16" s="6" t="s">
        <v>99</v>
      </c>
      <c r="D16" s="7" t="s">
        <v>11</v>
      </c>
      <c r="E16" s="8">
        <v>22601</v>
      </c>
      <c r="F16" s="7" t="s">
        <v>83</v>
      </c>
      <c r="G16" s="9">
        <v>37394</v>
      </c>
      <c r="H16" s="10">
        <v>23.876712328767123</v>
      </c>
      <c r="I16" s="10">
        <v>64.405479452054792</v>
      </c>
    </row>
    <row r="17" spans="1:9" ht="18.75" x14ac:dyDescent="0.3">
      <c r="A17" s="5" t="s">
        <v>103</v>
      </c>
      <c r="B17" s="5">
        <v>35</v>
      </c>
      <c r="C17" s="6" t="s">
        <v>104</v>
      </c>
      <c r="D17" s="7" t="s">
        <v>32</v>
      </c>
      <c r="E17" s="8">
        <v>23351</v>
      </c>
      <c r="F17" s="7" t="s">
        <v>105</v>
      </c>
      <c r="G17" s="9">
        <v>36895</v>
      </c>
      <c r="H17" s="10">
        <v>25.243835616438357</v>
      </c>
      <c r="I17" s="10">
        <v>62.350684931506848</v>
      </c>
    </row>
    <row r="18" spans="1:9" ht="18.75" x14ac:dyDescent="0.3">
      <c r="A18" s="5" t="s">
        <v>106</v>
      </c>
      <c r="B18" s="5">
        <v>36</v>
      </c>
      <c r="C18" s="6" t="s">
        <v>107</v>
      </c>
      <c r="D18" s="7" t="s">
        <v>11</v>
      </c>
      <c r="E18" s="8">
        <v>22178</v>
      </c>
      <c r="F18" s="7" t="s">
        <v>108</v>
      </c>
      <c r="G18" s="9">
        <v>37961</v>
      </c>
      <c r="H18" s="10">
        <v>22.323287671232876</v>
      </c>
      <c r="I18" s="10">
        <v>65.564383561643837</v>
      </c>
    </row>
    <row r="19" spans="1:9" ht="18.75" x14ac:dyDescent="0.3">
      <c r="A19" s="5" t="s">
        <v>109</v>
      </c>
      <c r="B19" s="5">
        <v>37</v>
      </c>
      <c r="C19" s="6" t="s">
        <v>110</v>
      </c>
      <c r="D19" s="7" t="s">
        <v>11</v>
      </c>
      <c r="E19" s="8">
        <v>24249</v>
      </c>
      <c r="F19" s="7" t="s">
        <v>111</v>
      </c>
      <c r="G19" s="9">
        <v>36895</v>
      </c>
      <c r="H19" s="10">
        <v>25.243835616438357</v>
      </c>
      <c r="I19" s="10">
        <v>59.890410958904113</v>
      </c>
    </row>
    <row r="20" spans="1:9" ht="18.75" x14ac:dyDescent="0.3">
      <c r="A20" s="5" t="s">
        <v>112</v>
      </c>
      <c r="B20" s="5">
        <v>38</v>
      </c>
      <c r="C20" s="6" t="s">
        <v>113</v>
      </c>
      <c r="D20" s="7" t="s">
        <v>11</v>
      </c>
      <c r="E20" s="8">
        <v>25239</v>
      </c>
      <c r="F20" s="7" t="s">
        <v>114</v>
      </c>
      <c r="G20" s="9">
        <v>36895</v>
      </c>
      <c r="H20" s="10">
        <v>25.243835616438357</v>
      </c>
      <c r="I20" s="10">
        <v>57.178082191780824</v>
      </c>
    </row>
    <row r="21" spans="1:9" ht="18.75" x14ac:dyDescent="0.3">
      <c r="A21" s="5" t="s">
        <v>118</v>
      </c>
      <c r="B21" s="5">
        <v>40</v>
      </c>
      <c r="C21" s="6" t="s">
        <v>119</v>
      </c>
      <c r="D21" s="7" t="s">
        <v>32</v>
      </c>
      <c r="E21" s="8">
        <v>22591</v>
      </c>
      <c r="F21" s="7" t="s">
        <v>108</v>
      </c>
      <c r="G21" s="9">
        <v>42008</v>
      </c>
      <c r="H21" s="10">
        <v>11.235616438356164</v>
      </c>
      <c r="I21" s="10">
        <v>64.432876712328763</v>
      </c>
    </row>
  </sheetData>
  <conditionalFormatting sqref="D2:D21">
    <cfRule type="containsText" dxfId="1" priority="1" operator="containsText" text="Ж">
      <formula>NOT(ISERROR(SEARCH("Ж",D2)))</formula>
    </cfRule>
    <cfRule type="containsText" dxfId="0" priority="2" operator="containsText" text="М">
      <formula>NOT(ISERROR(SEARCH("М",D2)))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54FDF-C175-441A-8D4D-51969EE3D4E5}">
  <dimension ref="A1:S47"/>
  <sheetViews>
    <sheetView workbookViewId="0">
      <selection activeCell="D9" sqref="D9"/>
    </sheetView>
  </sheetViews>
  <sheetFormatPr defaultRowHeight="18.75" x14ac:dyDescent="0.3"/>
  <cols>
    <col min="1" max="1" width="24" style="4" customWidth="1"/>
    <col min="2" max="2" width="20" style="13" customWidth="1"/>
    <col min="3" max="3" width="20.28515625" style="4" bestFit="1" customWidth="1"/>
    <col min="4" max="4" width="19.28515625" style="13" bestFit="1" customWidth="1"/>
    <col min="5" max="5" width="9.140625" style="4"/>
    <col min="6" max="6" width="13" style="4" bestFit="1" customWidth="1"/>
    <col min="7" max="15" width="9.140625" style="4"/>
  </cols>
  <sheetData>
    <row r="1" spans="1:19" x14ac:dyDescent="0.3">
      <c r="A1" s="14" t="s">
        <v>122</v>
      </c>
      <c r="B1" s="14"/>
      <c r="C1" s="14"/>
      <c r="D1" s="14"/>
    </row>
    <row r="2" spans="1:19" x14ac:dyDescent="0.3">
      <c r="A2" s="15" t="s">
        <v>123</v>
      </c>
      <c r="B2" s="15"/>
      <c r="C2" s="15"/>
      <c r="D2" s="15"/>
    </row>
    <row r="3" spans="1:19" x14ac:dyDescent="0.3">
      <c r="A3" s="16" t="s">
        <v>124</v>
      </c>
      <c r="B3" s="17">
        <v>5.8</v>
      </c>
      <c r="C3" s="13"/>
    </row>
    <row r="4" spans="1:19" x14ac:dyDescent="0.3">
      <c r="A4" s="16" t="s">
        <v>125</v>
      </c>
      <c r="B4" s="17">
        <v>2.15</v>
      </c>
    </row>
    <row r="5" spans="1:19" s="20" customFormat="1" ht="38.25" thickBot="1" x14ac:dyDescent="0.3">
      <c r="A5" s="18" t="s">
        <v>126</v>
      </c>
      <c r="B5" s="19" t="s">
        <v>127</v>
      </c>
      <c r="C5" s="18" t="s">
        <v>128</v>
      </c>
      <c r="D5" s="18" t="s">
        <v>129</v>
      </c>
      <c r="P5" s="21"/>
      <c r="Q5" s="21"/>
      <c r="R5" s="21"/>
      <c r="S5" s="21"/>
    </row>
    <row r="6" spans="1:19" s="4" customFormat="1" ht="19.5" thickTop="1" x14ac:dyDescent="0.3">
      <c r="A6" s="22" t="s">
        <v>10</v>
      </c>
      <c r="B6" s="23">
        <v>112</v>
      </c>
      <c r="C6" s="24">
        <f>B6*$B$3</f>
        <v>649.6</v>
      </c>
      <c r="D6" s="25">
        <f>C6/$B$4</f>
        <v>302.13953488372096</v>
      </c>
      <c r="F6" s="11"/>
      <c r="P6"/>
      <c r="Q6"/>
      <c r="R6"/>
      <c r="S6"/>
    </row>
    <row r="7" spans="1:19" s="4" customFormat="1" x14ac:dyDescent="0.3">
      <c r="A7" s="6" t="s">
        <v>14</v>
      </c>
      <c r="B7" s="7">
        <v>61</v>
      </c>
      <c r="C7" s="24">
        <f t="shared" ref="C7:C25" si="0">B7*$B$3</f>
        <v>353.8</v>
      </c>
      <c r="D7" s="25">
        <f t="shared" ref="D7:D25" si="1">C7/$B$4</f>
        <v>164.55813953488374</v>
      </c>
      <c r="P7"/>
      <c r="Q7"/>
      <c r="R7"/>
      <c r="S7"/>
    </row>
    <row r="8" spans="1:19" s="4" customFormat="1" x14ac:dyDescent="0.3">
      <c r="A8" s="6" t="s">
        <v>20</v>
      </c>
      <c r="B8" s="7">
        <v>32</v>
      </c>
      <c r="C8" s="24">
        <f t="shared" si="0"/>
        <v>185.6</v>
      </c>
      <c r="D8" s="25">
        <f t="shared" si="1"/>
        <v>86.325581395348834</v>
      </c>
      <c r="P8"/>
      <c r="Q8"/>
      <c r="R8"/>
      <c r="S8"/>
    </row>
    <row r="9" spans="1:19" s="4" customFormat="1" x14ac:dyDescent="0.3">
      <c r="A9" s="6" t="s">
        <v>22</v>
      </c>
      <c r="B9" s="7">
        <v>40</v>
      </c>
      <c r="C9" s="24">
        <f t="shared" si="0"/>
        <v>232</v>
      </c>
      <c r="D9" s="25">
        <f t="shared" si="1"/>
        <v>107.90697674418605</v>
      </c>
      <c r="P9"/>
      <c r="Q9"/>
      <c r="R9"/>
      <c r="S9"/>
    </row>
    <row r="10" spans="1:19" s="4" customFormat="1" x14ac:dyDescent="0.3">
      <c r="A10" s="6" t="s">
        <v>25</v>
      </c>
      <c r="B10" s="7">
        <v>79</v>
      </c>
      <c r="C10" s="24">
        <f t="shared" si="0"/>
        <v>458.2</v>
      </c>
      <c r="D10" s="25">
        <f t="shared" si="1"/>
        <v>213.11627906976744</v>
      </c>
      <c r="P10"/>
      <c r="Q10"/>
      <c r="R10"/>
      <c r="S10"/>
    </row>
    <row r="11" spans="1:19" s="4" customFormat="1" x14ac:dyDescent="0.3">
      <c r="A11" s="6" t="s">
        <v>38</v>
      </c>
      <c r="B11" s="7">
        <v>80</v>
      </c>
      <c r="C11" s="24">
        <f t="shared" si="0"/>
        <v>464</v>
      </c>
      <c r="D11" s="25">
        <f t="shared" si="1"/>
        <v>215.81395348837211</v>
      </c>
      <c r="P11"/>
      <c r="Q11"/>
      <c r="R11"/>
      <c r="S11"/>
    </row>
    <row r="12" spans="1:19" s="4" customFormat="1" x14ac:dyDescent="0.3">
      <c r="A12" s="6" t="s">
        <v>41</v>
      </c>
      <c r="B12" s="7">
        <v>45</v>
      </c>
      <c r="C12" s="24">
        <f t="shared" si="0"/>
        <v>261</v>
      </c>
      <c r="D12" s="25">
        <f t="shared" si="1"/>
        <v>121.39534883720931</v>
      </c>
      <c r="P12"/>
      <c r="Q12"/>
      <c r="R12"/>
      <c r="S12"/>
    </row>
    <row r="13" spans="1:19" s="4" customFormat="1" x14ac:dyDescent="0.3">
      <c r="A13" s="6" t="s">
        <v>44</v>
      </c>
      <c r="B13" s="7">
        <v>96</v>
      </c>
      <c r="C13" s="24">
        <f t="shared" si="0"/>
        <v>556.79999999999995</v>
      </c>
      <c r="D13" s="25">
        <f t="shared" si="1"/>
        <v>258.97674418604652</v>
      </c>
      <c r="P13"/>
      <c r="Q13"/>
      <c r="R13"/>
      <c r="S13"/>
    </row>
    <row r="14" spans="1:19" s="4" customFormat="1" x14ac:dyDescent="0.3">
      <c r="A14" s="6" t="s">
        <v>49</v>
      </c>
      <c r="B14" s="7">
        <v>50</v>
      </c>
      <c r="C14" s="24">
        <f t="shared" si="0"/>
        <v>290</v>
      </c>
      <c r="D14" s="25">
        <f t="shared" si="1"/>
        <v>134.88372093023256</v>
      </c>
      <c r="P14"/>
      <c r="Q14"/>
      <c r="R14"/>
      <c r="S14"/>
    </row>
    <row r="15" spans="1:19" s="4" customFormat="1" x14ac:dyDescent="0.3">
      <c r="A15" s="6" t="s">
        <v>54</v>
      </c>
      <c r="B15" s="7">
        <v>12</v>
      </c>
      <c r="C15" s="24">
        <f t="shared" si="0"/>
        <v>69.599999999999994</v>
      </c>
      <c r="D15" s="25">
        <f t="shared" si="1"/>
        <v>32.372093023255815</v>
      </c>
      <c r="P15"/>
      <c r="Q15"/>
      <c r="R15"/>
      <c r="S15"/>
    </row>
    <row r="16" spans="1:19" s="4" customFormat="1" x14ac:dyDescent="0.3">
      <c r="A16" s="6" t="s">
        <v>61</v>
      </c>
      <c r="B16" s="7">
        <v>116</v>
      </c>
      <c r="C16" s="24">
        <f t="shared" si="0"/>
        <v>672.8</v>
      </c>
      <c r="D16" s="25">
        <f t="shared" si="1"/>
        <v>312.93023255813955</v>
      </c>
      <c r="P16"/>
      <c r="Q16"/>
      <c r="R16"/>
      <c r="S16"/>
    </row>
    <row r="17" spans="1:19" s="4" customFormat="1" x14ac:dyDescent="0.3">
      <c r="A17" s="6" t="s">
        <v>64</v>
      </c>
      <c r="B17" s="7">
        <v>82</v>
      </c>
      <c r="C17" s="24">
        <f t="shared" si="0"/>
        <v>475.59999999999997</v>
      </c>
      <c r="D17" s="25">
        <f t="shared" si="1"/>
        <v>221.20930232558138</v>
      </c>
      <c r="P17"/>
      <c r="Q17"/>
      <c r="R17"/>
      <c r="S17"/>
    </row>
    <row r="18" spans="1:19" s="4" customFormat="1" x14ac:dyDescent="0.3">
      <c r="A18" s="6" t="s">
        <v>67</v>
      </c>
      <c r="B18" s="7">
        <v>100</v>
      </c>
      <c r="C18" s="24">
        <f t="shared" si="0"/>
        <v>580</v>
      </c>
      <c r="D18" s="25">
        <f t="shared" si="1"/>
        <v>269.76744186046511</v>
      </c>
      <c r="P18"/>
      <c r="Q18"/>
      <c r="R18"/>
      <c r="S18"/>
    </row>
    <row r="19" spans="1:19" s="4" customFormat="1" x14ac:dyDescent="0.3">
      <c r="A19" s="6" t="s">
        <v>69</v>
      </c>
      <c r="B19" s="7">
        <v>26</v>
      </c>
      <c r="C19" s="24">
        <f t="shared" si="0"/>
        <v>150.79999999999998</v>
      </c>
      <c r="D19" s="25">
        <f t="shared" si="1"/>
        <v>70.139534883720927</v>
      </c>
      <c r="P19"/>
      <c r="Q19"/>
      <c r="R19"/>
      <c r="S19"/>
    </row>
    <row r="20" spans="1:19" s="4" customFormat="1" x14ac:dyDescent="0.3">
      <c r="A20" s="6" t="s">
        <v>71</v>
      </c>
      <c r="B20" s="7">
        <v>90</v>
      </c>
      <c r="C20" s="24">
        <f t="shared" si="0"/>
        <v>522</v>
      </c>
      <c r="D20" s="25">
        <f t="shared" si="1"/>
        <v>242.79069767441862</v>
      </c>
      <c r="P20"/>
      <c r="Q20"/>
      <c r="R20"/>
      <c r="S20"/>
    </row>
    <row r="21" spans="1:19" s="4" customFormat="1" x14ac:dyDescent="0.3">
      <c r="A21" s="6" t="s">
        <v>82</v>
      </c>
      <c r="B21" s="7">
        <v>96</v>
      </c>
      <c r="C21" s="24">
        <f t="shared" si="0"/>
        <v>556.79999999999995</v>
      </c>
      <c r="D21" s="25">
        <f t="shared" si="1"/>
        <v>258.97674418604652</v>
      </c>
      <c r="P21"/>
      <c r="Q21"/>
      <c r="R21"/>
      <c r="S21"/>
    </row>
    <row r="22" spans="1:19" s="4" customFormat="1" x14ac:dyDescent="0.3">
      <c r="A22" s="6" t="s">
        <v>93</v>
      </c>
      <c r="B22" s="7">
        <v>102</v>
      </c>
      <c r="C22" s="24">
        <f t="shared" si="0"/>
        <v>591.6</v>
      </c>
      <c r="D22" s="25">
        <f t="shared" si="1"/>
        <v>275.16279069767444</v>
      </c>
      <c r="P22"/>
      <c r="Q22"/>
      <c r="R22"/>
      <c r="S22"/>
    </row>
    <row r="23" spans="1:19" s="4" customFormat="1" x14ac:dyDescent="0.3">
      <c r="A23" s="6" t="s">
        <v>99</v>
      </c>
      <c r="B23" s="7">
        <v>152</v>
      </c>
      <c r="C23" s="24">
        <f t="shared" si="0"/>
        <v>881.6</v>
      </c>
      <c r="D23" s="25">
        <f t="shared" si="1"/>
        <v>410.04651162790702</v>
      </c>
      <c r="P23"/>
      <c r="Q23"/>
      <c r="R23"/>
      <c r="S23"/>
    </row>
    <row r="24" spans="1:19" s="4" customFormat="1" x14ac:dyDescent="0.3">
      <c r="A24" s="6" t="s">
        <v>107</v>
      </c>
      <c r="B24" s="7">
        <v>108</v>
      </c>
      <c r="C24" s="24">
        <f t="shared" si="0"/>
        <v>626.4</v>
      </c>
      <c r="D24" s="25">
        <f t="shared" si="1"/>
        <v>291.3488372093023</v>
      </c>
      <c r="P24"/>
      <c r="Q24"/>
      <c r="R24"/>
      <c r="S24"/>
    </row>
    <row r="25" spans="1:19" s="4" customFormat="1" x14ac:dyDescent="0.3">
      <c r="A25" s="6" t="s">
        <v>116</v>
      </c>
      <c r="B25" s="7">
        <v>38</v>
      </c>
      <c r="C25" s="24">
        <f t="shared" si="0"/>
        <v>220.4</v>
      </c>
      <c r="D25" s="25">
        <f t="shared" si="1"/>
        <v>102.51162790697676</v>
      </c>
      <c r="P25"/>
      <c r="Q25"/>
      <c r="R25"/>
      <c r="S25"/>
    </row>
    <row r="26" spans="1:19" s="4" customFormat="1" x14ac:dyDescent="0.3">
      <c r="B26" s="13"/>
      <c r="C26" s="26"/>
      <c r="D26" s="13"/>
      <c r="P26"/>
      <c r="Q26"/>
      <c r="R26"/>
      <c r="S26"/>
    </row>
    <row r="27" spans="1:19" s="4" customFormat="1" ht="39" x14ac:dyDescent="0.3">
      <c r="B27" s="27" t="s">
        <v>130</v>
      </c>
      <c r="C27" s="8"/>
      <c r="D27" s="7"/>
      <c r="P27"/>
      <c r="Q27"/>
      <c r="R27"/>
      <c r="S27"/>
    </row>
    <row r="28" spans="1:19" s="4" customFormat="1" ht="58.5" x14ac:dyDescent="0.3">
      <c r="B28" s="27" t="s">
        <v>131</v>
      </c>
      <c r="C28" s="8"/>
      <c r="D28" s="7"/>
      <c r="P28"/>
      <c r="Q28"/>
      <c r="R28"/>
      <c r="S28"/>
    </row>
    <row r="29" spans="1:19" s="4" customFormat="1" ht="39" x14ac:dyDescent="0.3">
      <c r="B29" s="27" t="s">
        <v>132</v>
      </c>
      <c r="C29" s="8"/>
      <c r="D29" s="7"/>
      <c r="P29"/>
      <c r="Q29"/>
      <c r="R29"/>
      <c r="S29"/>
    </row>
    <row r="30" spans="1:19" s="4" customFormat="1" x14ac:dyDescent="0.3">
      <c r="B30" s="13"/>
      <c r="C30" s="26"/>
      <c r="D30" s="13"/>
      <c r="P30"/>
      <c r="Q30"/>
      <c r="R30"/>
      <c r="S30"/>
    </row>
    <row r="31" spans="1:19" s="4" customFormat="1" x14ac:dyDescent="0.3">
      <c r="A31" s="4" t="s">
        <v>45</v>
      </c>
      <c r="B31" s="13"/>
      <c r="C31" s="26"/>
      <c r="D31" s="16" t="s">
        <v>133</v>
      </c>
      <c r="P31"/>
      <c r="Q31"/>
      <c r="R31"/>
      <c r="S31"/>
    </row>
    <row r="32" spans="1:19" s="4" customFormat="1" x14ac:dyDescent="0.3">
      <c r="B32" s="13"/>
      <c r="C32" s="26"/>
      <c r="D32" s="13"/>
      <c r="P32"/>
      <c r="Q32"/>
      <c r="R32"/>
      <c r="S32"/>
    </row>
    <row r="33" spans="2:19" s="4" customFormat="1" x14ac:dyDescent="0.3">
      <c r="B33" s="13"/>
      <c r="C33" s="26"/>
      <c r="D33" s="13"/>
      <c r="P33"/>
      <c r="Q33"/>
      <c r="R33"/>
      <c r="S33"/>
    </row>
    <row r="34" spans="2:19" s="4" customFormat="1" x14ac:dyDescent="0.3">
      <c r="B34" s="13"/>
      <c r="C34" s="26"/>
      <c r="D34" s="13"/>
      <c r="P34"/>
      <c r="Q34"/>
      <c r="R34"/>
      <c r="S34"/>
    </row>
    <row r="35" spans="2:19" s="4" customFormat="1" x14ac:dyDescent="0.3">
      <c r="B35" s="13"/>
      <c r="C35" s="26"/>
      <c r="D35" s="13"/>
      <c r="P35"/>
      <c r="Q35"/>
      <c r="R35"/>
      <c r="S35"/>
    </row>
    <row r="36" spans="2:19" s="4" customFormat="1" x14ac:dyDescent="0.3">
      <c r="B36" s="13"/>
      <c r="C36" s="26"/>
      <c r="D36" s="13"/>
      <c r="P36"/>
      <c r="Q36"/>
      <c r="R36"/>
      <c r="S36"/>
    </row>
    <row r="37" spans="2:19" s="4" customFormat="1" x14ac:dyDescent="0.3">
      <c r="B37" s="13"/>
      <c r="C37" s="26"/>
      <c r="D37" s="13"/>
      <c r="P37"/>
      <c r="Q37"/>
      <c r="R37"/>
      <c r="S37"/>
    </row>
    <row r="38" spans="2:19" s="4" customFormat="1" x14ac:dyDescent="0.3">
      <c r="B38" s="13"/>
      <c r="C38" s="26"/>
      <c r="D38" s="13"/>
      <c r="P38"/>
      <c r="Q38"/>
      <c r="R38"/>
      <c r="S38"/>
    </row>
    <row r="39" spans="2:19" s="4" customFormat="1" x14ac:dyDescent="0.3">
      <c r="B39" s="13"/>
      <c r="C39" s="26"/>
      <c r="D39" s="13"/>
      <c r="P39"/>
      <c r="Q39"/>
      <c r="R39"/>
      <c r="S39"/>
    </row>
    <row r="40" spans="2:19" s="4" customFormat="1" x14ac:dyDescent="0.3">
      <c r="B40" s="13"/>
      <c r="C40" s="26"/>
      <c r="D40" s="13"/>
      <c r="P40"/>
      <c r="Q40"/>
      <c r="R40"/>
      <c r="S40"/>
    </row>
    <row r="41" spans="2:19" s="4" customFormat="1" x14ac:dyDescent="0.3">
      <c r="B41" s="13"/>
      <c r="C41" s="26"/>
      <c r="D41" s="13"/>
      <c r="P41"/>
      <c r="Q41"/>
      <c r="R41"/>
      <c r="S41"/>
    </row>
    <row r="42" spans="2:19" s="4" customFormat="1" x14ac:dyDescent="0.3">
      <c r="B42" s="13"/>
      <c r="C42" s="26"/>
      <c r="D42" s="13"/>
      <c r="P42"/>
      <c r="Q42"/>
      <c r="R42"/>
      <c r="S42"/>
    </row>
    <row r="43" spans="2:19" s="4" customFormat="1" x14ac:dyDescent="0.3">
      <c r="B43" s="13"/>
      <c r="C43" s="26"/>
      <c r="D43" s="13"/>
      <c r="P43"/>
      <c r="Q43"/>
      <c r="R43"/>
      <c r="S43"/>
    </row>
    <row r="44" spans="2:19" s="4" customFormat="1" x14ac:dyDescent="0.3">
      <c r="B44" s="13"/>
      <c r="C44" s="26"/>
      <c r="D44" s="13"/>
      <c r="P44"/>
      <c r="Q44"/>
      <c r="R44"/>
      <c r="S44"/>
    </row>
    <row r="45" spans="2:19" s="4" customFormat="1" x14ac:dyDescent="0.3">
      <c r="B45" s="13"/>
      <c r="C45" s="26"/>
      <c r="D45" s="13"/>
      <c r="P45"/>
      <c r="Q45"/>
      <c r="R45"/>
      <c r="S45"/>
    </row>
    <row r="46" spans="2:19" s="4" customFormat="1" x14ac:dyDescent="0.3">
      <c r="B46" s="13"/>
      <c r="C46" s="11"/>
      <c r="D46" s="13"/>
      <c r="P46"/>
      <c r="Q46"/>
      <c r="R46"/>
      <c r="S46"/>
    </row>
    <row r="47" spans="2:19" s="4" customFormat="1" x14ac:dyDescent="0.3">
      <c r="B47" s="13"/>
      <c r="D47" s="13"/>
      <c r="P47"/>
      <c r="Q47"/>
      <c r="R47"/>
      <c r="S47"/>
    </row>
  </sheetData>
  <mergeCells count="2">
    <mergeCell ref="A1:D1"/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4D264-59E4-4D8A-9082-9407F09A1AA2}">
  <dimension ref="A1:D21"/>
  <sheetViews>
    <sheetView tabSelected="1" workbookViewId="0">
      <selection activeCell="D26" sqref="D26"/>
    </sheetView>
  </sheetViews>
  <sheetFormatPr defaultRowHeight="15" x14ac:dyDescent="0.25"/>
  <cols>
    <col min="1" max="1" width="16.7109375" bestFit="1" customWidth="1"/>
    <col min="2" max="2" width="16.140625" customWidth="1"/>
    <col min="3" max="3" width="19.42578125" bestFit="1" customWidth="1"/>
    <col min="4" max="4" width="12.42578125" customWidth="1"/>
  </cols>
  <sheetData>
    <row r="1" spans="1:4" ht="19.5" thickBot="1" x14ac:dyDescent="0.3">
      <c r="A1" s="28" t="s">
        <v>126</v>
      </c>
      <c r="B1" s="29" t="s">
        <v>134</v>
      </c>
      <c r="C1" s="28" t="s">
        <v>135</v>
      </c>
      <c r="D1" s="28" t="s">
        <v>3</v>
      </c>
    </row>
    <row r="2" spans="1:4" ht="19.5" thickTop="1" x14ac:dyDescent="0.25">
      <c r="A2" s="30" t="s">
        <v>10</v>
      </c>
      <c r="B2" s="31">
        <v>157</v>
      </c>
      <c r="C2" s="31">
        <v>57</v>
      </c>
      <c r="D2" s="32" t="s">
        <v>11</v>
      </c>
    </row>
    <row r="3" spans="1:4" ht="18.75" x14ac:dyDescent="0.25">
      <c r="A3" s="33" t="s">
        <v>14</v>
      </c>
      <c r="B3" s="31">
        <v>189</v>
      </c>
      <c r="C3" s="31">
        <v>83</v>
      </c>
      <c r="D3" s="32" t="s">
        <v>11</v>
      </c>
    </row>
    <row r="4" spans="1:4" ht="18.75" x14ac:dyDescent="0.25">
      <c r="A4" s="33" t="s">
        <v>20</v>
      </c>
      <c r="B4" s="31">
        <v>180</v>
      </c>
      <c r="C4" s="31">
        <v>82</v>
      </c>
      <c r="D4" s="32" t="s">
        <v>11</v>
      </c>
    </row>
    <row r="5" spans="1:4" ht="18.75" x14ac:dyDescent="0.25">
      <c r="A5" s="33" t="s">
        <v>22</v>
      </c>
      <c r="B5" s="31">
        <v>176</v>
      </c>
      <c r="C5" s="31">
        <v>70</v>
      </c>
      <c r="D5" s="32" t="s">
        <v>11</v>
      </c>
    </row>
    <row r="6" spans="1:4" ht="18.75" x14ac:dyDescent="0.25">
      <c r="A6" s="33" t="s">
        <v>25</v>
      </c>
      <c r="B6" s="31">
        <v>171</v>
      </c>
      <c r="C6" s="31">
        <v>63</v>
      </c>
      <c r="D6" s="32" t="s">
        <v>11</v>
      </c>
    </row>
    <row r="7" spans="1:4" ht="18.75" x14ac:dyDescent="0.25">
      <c r="A7" s="33" t="s">
        <v>38</v>
      </c>
      <c r="B7" s="31">
        <v>162</v>
      </c>
      <c r="C7" s="31">
        <v>58</v>
      </c>
      <c r="D7" s="32" t="s">
        <v>32</v>
      </c>
    </row>
    <row r="8" spans="1:4" ht="18.75" x14ac:dyDescent="0.25">
      <c r="A8" s="33" t="s">
        <v>41</v>
      </c>
      <c r="B8" s="31">
        <v>198</v>
      </c>
      <c r="C8" s="31">
        <v>90</v>
      </c>
      <c r="D8" s="32" t="s">
        <v>11</v>
      </c>
    </row>
    <row r="9" spans="1:4" ht="18.75" x14ac:dyDescent="0.25">
      <c r="A9" s="33" t="s">
        <v>44</v>
      </c>
      <c r="B9" s="31">
        <v>195</v>
      </c>
      <c r="C9" s="31">
        <v>81</v>
      </c>
      <c r="D9" s="32" t="s">
        <v>32</v>
      </c>
    </row>
    <row r="10" spans="1:4" ht="18.75" x14ac:dyDescent="0.25">
      <c r="A10" s="33" t="s">
        <v>49</v>
      </c>
      <c r="B10" s="31">
        <v>158</v>
      </c>
      <c r="C10" s="31">
        <v>49</v>
      </c>
      <c r="D10" s="32" t="s">
        <v>32</v>
      </c>
    </row>
    <row r="11" spans="1:4" ht="18.75" x14ac:dyDescent="0.25">
      <c r="A11" s="33" t="s">
        <v>54</v>
      </c>
      <c r="B11" s="31">
        <v>184</v>
      </c>
      <c r="C11" s="31">
        <v>80</v>
      </c>
      <c r="D11" s="32" t="s">
        <v>11</v>
      </c>
    </row>
    <row r="12" spans="1:4" ht="18.75" x14ac:dyDescent="0.25">
      <c r="A12" s="33" t="s">
        <v>61</v>
      </c>
      <c r="B12" s="31">
        <v>175</v>
      </c>
      <c r="C12" s="31">
        <v>75</v>
      </c>
      <c r="D12" s="32" t="s">
        <v>11</v>
      </c>
    </row>
    <row r="13" spans="1:4" ht="18.75" x14ac:dyDescent="0.25">
      <c r="A13" s="33" t="s">
        <v>64</v>
      </c>
      <c r="B13" s="31">
        <v>202</v>
      </c>
      <c r="C13" s="31">
        <v>100</v>
      </c>
      <c r="D13" s="32" t="s">
        <v>32</v>
      </c>
    </row>
    <row r="14" spans="1:4" ht="18.75" x14ac:dyDescent="0.25">
      <c r="A14" s="33" t="s">
        <v>67</v>
      </c>
      <c r="B14" s="31">
        <v>156</v>
      </c>
      <c r="C14" s="31">
        <v>96</v>
      </c>
      <c r="D14" s="32" t="s">
        <v>32</v>
      </c>
    </row>
    <row r="15" spans="1:4" ht="18.75" x14ac:dyDescent="0.25">
      <c r="A15" s="33" t="s">
        <v>69</v>
      </c>
      <c r="B15" s="31">
        <v>150</v>
      </c>
      <c r="C15" s="31">
        <v>46</v>
      </c>
      <c r="D15" s="32" t="s">
        <v>11</v>
      </c>
    </row>
    <row r="16" spans="1:4" ht="18.75" x14ac:dyDescent="0.25">
      <c r="A16" s="33" t="s">
        <v>71</v>
      </c>
      <c r="B16" s="31">
        <v>178</v>
      </c>
      <c r="C16" s="31">
        <v>74</v>
      </c>
      <c r="D16" s="32" t="s">
        <v>11</v>
      </c>
    </row>
    <row r="17" spans="1:4" ht="18.75" x14ac:dyDescent="0.25">
      <c r="A17" s="33" t="s">
        <v>82</v>
      </c>
      <c r="B17" s="31">
        <v>168</v>
      </c>
      <c r="C17" s="31">
        <v>62</v>
      </c>
      <c r="D17" s="32" t="s">
        <v>32</v>
      </c>
    </row>
    <row r="18" spans="1:4" ht="18.75" x14ac:dyDescent="0.25">
      <c r="A18" s="33" t="s">
        <v>93</v>
      </c>
      <c r="B18" s="31">
        <v>185</v>
      </c>
      <c r="C18" s="31">
        <v>98</v>
      </c>
      <c r="D18" s="32" t="s">
        <v>11</v>
      </c>
    </row>
    <row r="19" spans="1:4" ht="18.75" x14ac:dyDescent="0.25">
      <c r="A19" s="33" t="s">
        <v>99</v>
      </c>
      <c r="B19" s="31">
        <v>155</v>
      </c>
      <c r="C19" s="31">
        <v>55</v>
      </c>
      <c r="D19" s="32" t="s">
        <v>11</v>
      </c>
    </row>
    <row r="20" spans="1:4" ht="18.75" x14ac:dyDescent="0.25">
      <c r="A20" s="33" t="s">
        <v>107</v>
      </c>
      <c r="B20" s="31">
        <v>188</v>
      </c>
      <c r="C20" s="31">
        <v>78</v>
      </c>
      <c r="D20" s="32" t="s">
        <v>11</v>
      </c>
    </row>
    <row r="21" spans="1:4" ht="18.75" x14ac:dyDescent="0.25">
      <c r="A21" s="33" t="s">
        <v>116</v>
      </c>
      <c r="B21" s="31">
        <v>170</v>
      </c>
      <c r="C21" s="31">
        <v>75</v>
      </c>
      <c r="D21" s="32" t="s">
        <v>11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9477F-FAD5-410D-AE68-840D99B19D68}">
  <dimension ref="A3:B5"/>
  <sheetViews>
    <sheetView workbookViewId="0">
      <selection sqref="A1:XFD1048576"/>
    </sheetView>
  </sheetViews>
  <sheetFormatPr defaultRowHeight="15" x14ac:dyDescent="0.25"/>
  <cols>
    <col min="1" max="1" width="6.85546875" bestFit="1" customWidth="1"/>
    <col min="2" max="2" width="24.140625" bestFit="1" customWidth="1"/>
  </cols>
  <sheetData>
    <row r="3" spans="1:2" x14ac:dyDescent="0.25">
      <c r="A3" s="34" t="s">
        <v>3</v>
      </c>
      <c r="B3" t="s">
        <v>136</v>
      </c>
    </row>
    <row r="4" spans="1:2" x14ac:dyDescent="0.25">
      <c r="A4" t="s">
        <v>32</v>
      </c>
      <c r="B4">
        <v>6</v>
      </c>
    </row>
    <row r="5" spans="1:2" x14ac:dyDescent="0.25">
      <c r="A5" t="s">
        <v>11</v>
      </c>
      <c r="B5">
        <v>14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D03A-216F-4AC1-8A68-903A7015711D}">
  <dimension ref="A1:D21"/>
  <sheetViews>
    <sheetView workbookViewId="0">
      <selection activeCell="D16" sqref="D16"/>
    </sheetView>
  </sheetViews>
  <sheetFormatPr defaultRowHeight="15" x14ac:dyDescent="0.25"/>
  <cols>
    <col min="1" max="1" width="16.7109375" bestFit="1" customWidth="1"/>
    <col min="2" max="2" width="7.7109375" bestFit="1" customWidth="1"/>
    <col min="3" max="3" width="10" bestFit="1" customWidth="1"/>
    <col min="4" max="4" width="6.28515625" bestFit="1" customWidth="1"/>
  </cols>
  <sheetData>
    <row r="1" spans="1:4" ht="38.25" thickBot="1" x14ac:dyDescent="0.3">
      <c r="A1" s="28" t="s">
        <v>126</v>
      </c>
      <c r="B1" s="29" t="s">
        <v>134</v>
      </c>
      <c r="C1" s="28" t="s">
        <v>135</v>
      </c>
      <c r="D1" s="28" t="s">
        <v>3</v>
      </c>
    </row>
    <row r="2" spans="1:4" ht="19.5" thickTop="1" x14ac:dyDescent="0.25">
      <c r="A2" s="30" t="s">
        <v>10</v>
      </c>
      <c r="B2" s="31">
        <v>157</v>
      </c>
      <c r="C2" s="31">
        <v>57</v>
      </c>
      <c r="D2" s="32" t="s">
        <v>11</v>
      </c>
    </row>
    <row r="3" spans="1:4" ht="18.75" x14ac:dyDescent="0.25">
      <c r="A3" s="33" t="s">
        <v>14</v>
      </c>
      <c r="B3" s="31">
        <v>189</v>
      </c>
      <c r="C3" s="31">
        <v>83</v>
      </c>
      <c r="D3" s="32" t="s">
        <v>11</v>
      </c>
    </row>
    <row r="4" spans="1:4" ht="18.75" x14ac:dyDescent="0.25">
      <c r="A4" s="33" t="s">
        <v>20</v>
      </c>
      <c r="B4" s="31">
        <v>180</v>
      </c>
      <c r="C4" s="31">
        <v>82</v>
      </c>
      <c r="D4" s="32" t="s">
        <v>11</v>
      </c>
    </row>
    <row r="5" spans="1:4" ht="18.75" x14ac:dyDescent="0.25">
      <c r="A5" s="33" t="s">
        <v>22</v>
      </c>
      <c r="B5" s="31">
        <v>176</v>
      </c>
      <c r="C5" s="31">
        <v>70</v>
      </c>
      <c r="D5" s="32" t="s">
        <v>11</v>
      </c>
    </row>
    <row r="6" spans="1:4" ht="18.75" x14ac:dyDescent="0.25">
      <c r="A6" s="33" t="s">
        <v>25</v>
      </c>
      <c r="B6" s="31">
        <v>171</v>
      </c>
      <c r="C6" s="31">
        <v>63</v>
      </c>
      <c r="D6" s="32" t="s">
        <v>11</v>
      </c>
    </row>
    <row r="7" spans="1:4" ht="18.75" x14ac:dyDescent="0.25">
      <c r="A7" s="33" t="s">
        <v>38</v>
      </c>
      <c r="B7" s="31">
        <v>162</v>
      </c>
      <c r="C7" s="31">
        <v>58</v>
      </c>
      <c r="D7" s="32" t="s">
        <v>32</v>
      </c>
    </row>
    <row r="8" spans="1:4" ht="18.75" x14ac:dyDescent="0.25">
      <c r="A8" s="33" t="s">
        <v>41</v>
      </c>
      <c r="B8" s="31">
        <v>198</v>
      </c>
      <c r="C8" s="31">
        <v>90</v>
      </c>
      <c r="D8" s="32" t="s">
        <v>11</v>
      </c>
    </row>
    <row r="9" spans="1:4" ht="18.75" x14ac:dyDescent="0.25">
      <c r="A9" s="33" t="s">
        <v>44</v>
      </c>
      <c r="B9" s="31">
        <v>195</v>
      </c>
      <c r="C9" s="31">
        <v>81</v>
      </c>
      <c r="D9" s="32" t="s">
        <v>32</v>
      </c>
    </row>
    <row r="10" spans="1:4" ht="18.75" x14ac:dyDescent="0.25">
      <c r="A10" s="33" t="s">
        <v>49</v>
      </c>
      <c r="B10" s="31">
        <v>158</v>
      </c>
      <c r="C10" s="31">
        <v>49</v>
      </c>
      <c r="D10" s="32" t="s">
        <v>32</v>
      </c>
    </row>
    <row r="11" spans="1:4" ht="18.75" x14ac:dyDescent="0.25">
      <c r="A11" s="33" t="s">
        <v>54</v>
      </c>
      <c r="B11" s="31">
        <v>184</v>
      </c>
      <c r="C11" s="31">
        <v>80</v>
      </c>
      <c r="D11" s="32" t="s">
        <v>11</v>
      </c>
    </row>
    <row r="12" spans="1:4" ht="18.75" x14ac:dyDescent="0.25">
      <c r="A12" s="33" t="s">
        <v>61</v>
      </c>
      <c r="B12" s="31">
        <v>175</v>
      </c>
      <c r="C12" s="31">
        <v>75</v>
      </c>
      <c r="D12" s="32" t="s">
        <v>11</v>
      </c>
    </row>
    <row r="13" spans="1:4" ht="18.75" x14ac:dyDescent="0.25">
      <c r="A13" s="33" t="s">
        <v>64</v>
      </c>
      <c r="B13" s="31">
        <v>202</v>
      </c>
      <c r="C13" s="31">
        <v>100</v>
      </c>
      <c r="D13" s="32" t="s">
        <v>32</v>
      </c>
    </row>
    <row r="14" spans="1:4" ht="18.75" x14ac:dyDescent="0.25">
      <c r="A14" s="33" t="s">
        <v>67</v>
      </c>
      <c r="B14" s="31">
        <v>156</v>
      </c>
      <c r="C14" s="31">
        <v>96</v>
      </c>
      <c r="D14" s="32" t="s">
        <v>32</v>
      </c>
    </row>
    <row r="15" spans="1:4" ht="18.75" x14ac:dyDescent="0.25">
      <c r="A15" s="33" t="s">
        <v>69</v>
      </c>
      <c r="B15" s="31">
        <v>150</v>
      </c>
      <c r="C15" s="31">
        <v>46</v>
      </c>
      <c r="D15" s="32" t="s">
        <v>11</v>
      </c>
    </row>
    <row r="16" spans="1:4" ht="18.75" x14ac:dyDescent="0.25">
      <c r="A16" s="33" t="s">
        <v>71</v>
      </c>
      <c r="B16" s="31">
        <v>178</v>
      </c>
      <c r="C16" s="31">
        <v>74</v>
      </c>
      <c r="D16" s="32" t="s">
        <v>11</v>
      </c>
    </row>
    <row r="17" spans="1:4" ht="18.75" x14ac:dyDescent="0.25">
      <c r="A17" s="33" t="s">
        <v>82</v>
      </c>
      <c r="B17" s="31">
        <v>168</v>
      </c>
      <c r="C17" s="31">
        <v>62</v>
      </c>
      <c r="D17" s="32" t="s">
        <v>32</v>
      </c>
    </row>
    <row r="18" spans="1:4" ht="18.75" x14ac:dyDescent="0.25">
      <c r="A18" s="33" t="s">
        <v>93</v>
      </c>
      <c r="B18" s="31">
        <v>185</v>
      </c>
      <c r="C18" s="31">
        <v>98</v>
      </c>
      <c r="D18" s="32" t="s">
        <v>11</v>
      </c>
    </row>
    <row r="19" spans="1:4" ht="18.75" x14ac:dyDescent="0.25">
      <c r="A19" s="33" t="s">
        <v>99</v>
      </c>
      <c r="B19" s="31">
        <v>155</v>
      </c>
      <c r="C19" s="31">
        <v>55</v>
      </c>
      <c r="D19" s="32" t="s">
        <v>11</v>
      </c>
    </row>
    <row r="20" spans="1:4" ht="18.75" x14ac:dyDescent="0.25">
      <c r="A20" s="33" t="s">
        <v>107</v>
      </c>
      <c r="B20" s="31">
        <v>188</v>
      </c>
      <c r="C20" s="31">
        <v>78</v>
      </c>
      <c r="D20" s="32" t="s">
        <v>11</v>
      </c>
    </row>
    <row r="21" spans="1:4" ht="18.75" x14ac:dyDescent="0.25">
      <c r="A21" s="33" t="s">
        <v>116</v>
      </c>
      <c r="B21" s="31">
        <v>170</v>
      </c>
      <c r="C21" s="31">
        <v>75</v>
      </c>
      <c r="D21" s="3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Сотрудники</vt:lpstr>
      <vt:lpstr>Возраст</vt:lpstr>
      <vt:lpstr>Пенсионеры</vt:lpstr>
      <vt:lpstr>Сведения ЗП</vt:lpstr>
      <vt:lpstr>Показатели роста</vt:lpstr>
      <vt:lpstr>График</vt:lpstr>
      <vt:lpstr>Соотношение по полу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Ермаченко Александра</dc:creator>
  <cp:lastModifiedBy>Ермаченко Александра</cp:lastModifiedBy>
  <dcterms:created xsi:type="dcterms:W3CDTF">2015-06-05T18:19:34Z</dcterms:created>
  <dcterms:modified xsi:type="dcterms:W3CDTF">2026-04-11T09:27:53Z</dcterms:modified>
</cp:coreProperties>
</file>