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Практика\День 32\"/>
    </mc:Choice>
  </mc:AlternateContent>
  <xr:revisionPtr revIDLastSave="0" documentId="13_ncr:1_{1786DB36-E719-4358-8CD6-86FD7B209BDA}" xr6:coauthVersionLast="47" xr6:coauthVersionMax="47" xr10:uidLastSave="{00000000-0000-0000-0000-000000000000}"/>
  <bookViews>
    <workbookView xWindow="4545" yWindow="2325" windowWidth="21600" windowHeight="11100" firstSheet="4" activeTab="8" xr2:uid="{00000000-000D-0000-FFFF-FFFF00000000}"/>
  </bookViews>
  <sheets>
    <sheet name="Итоги за квартал" sheetId="1" r:id="rId1"/>
    <sheet name="ЗП декабрь" sheetId="11" r:id="rId2"/>
    <sheet name="Расчет " sheetId="12" r:id="rId3"/>
    <sheet name="Ведомость" sheetId="7" r:id="rId4"/>
    <sheet name="Формулы" sheetId="8" r:id="rId5"/>
    <sheet name="ЗП октябрь" sheetId="9" r:id="rId6"/>
    <sheet name="ЗП ноябрь" sheetId="10" r:id="rId7"/>
    <sheet name="Оклад" sheetId="2" r:id="rId8"/>
    <sheet name="Итоги" sheetId="3" r:id="rId9"/>
    <sheet name="Выручка" sheetId="4" r:id="rId10"/>
    <sheet name="Расходы" sheetId="5" r:id="rId11"/>
    <sheet name="Учет заказов" sheetId="6" r:id="rId12"/>
  </sheets>
  <externalReferences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5" i="1"/>
  <c r="D10" i="12"/>
  <c r="E10" i="12" s="1"/>
  <c r="C10" i="12"/>
  <c r="E9" i="12"/>
  <c r="D9" i="12"/>
  <c r="C9" i="12"/>
  <c r="D8" i="12"/>
  <c r="E8" i="12" s="1"/>
  <c r="C8" i="12"/>
  <c r="D7" i="12"/>
  <c r="E7" i="12" s="1"/>
  <c r="C7" i="12"/>
  <c r="D6" i="12"/>
  <c r="E6" i="12" s="1"/>
  <c r="C6" i="12"/>
  <c r="E5" i="12"/>
  <c r="D5" i="12"/>
  <c r="C5" i="12"/>
  <c r="D4" i="12"/>
  <c r="E4" i="12" s="1"/>
  <c r="C4" i="12"/>
  <c r="C19" i="11"/>
  <c r="F17" i="11"/>
  <c r="G17" i="11" s="1"/>
  <c r="E17" i="11"/>
  <c r="D17" i="11"/>
  <c r="F16" i="11"/>
  <c r="E16" i="11"/>
  <c r="D16" i="11"/>
  <c r="E15" i="11"/>
  <c r="D15" i="11"/>
  <c r="F15" i="11" s="1"/>
  <c r="E14" i="11"/>
  <c r="D14" i="11"/>
  <c r="F14" i="11" s="1"/>
  <c r="E13" i="11"/>
  <c r="D13" i="11"/>
  <c r="F13" i="11" s="1"/>
  <c r="E12" i="11"/>
  <c r="F12" i="11" s="1"/>
  <c r="D12" i="11"/>
  <c r="E11" i="11"/>
  <c r="D11" i="11"/>
  <c r="F11" i="11" s="1"/>
  <c r="E10" i="11"/>
  <c r="F10" i="11" s="1"/>
  <c r="D10" i="11"/>
  <c r="E9" i="11"/>
  <c r="D9" i="11"/>
  <c r="F9" i="11" s="1"/>
  <c r="E8" i="11"/>
  <c r="D8" i="11"/>
  <c r="F8" i="11" s="1"/>
  <c r="E7" i="11"/>
  <c r="D7" i="11"/>
  <c r="F7" i="11" s="1"/>
  <c r="E6" i="11"/>
  <c r="D6" i="11"/>
  <c r="F6" i="11" s="1"/>
  <c r="F5" i="11"/>
  <c r="G5" i="11" s="1"/>
  <c r="E5" i="11"/>
  <c r="D5" i="11"/>
  <c r="F4" i="11"/>
  <c r="E4" i="11"/>
  <c r="E19" i="11" s="1"/>
  <c r="D4" i="11"/>
  <c r="D19" i="11" s="1"/>
  <c r="B2" i="3"/>
  <c r="D12" i="4"/>
  <c r="F12" i="4" s="1"/>
  <c r="D11" i="4"/>
  <c r="F11" i="4" s="1"/>
  <c r="F10" i="4"/>
  <c r="D10" i="4"/>
  <c r="D9" i="4"/>
  <c r="F9" i="4" s="1"/>
  <c r="D8" i="4"/>
  <c r="F8" i="4" s="1"/>
  <c r="D7" i="4"/>
  <c r="F7" i="4" s="1"/>
  <c r="D6" i="4"/>
  <c r="F6" i="4" s="1"/>
  <c r="D5" i="4"/>
  <c r="F5" i="4" s="1"/>
  <c r="F4" i="4"/>
  <c r="D4" i="4"/>
  <c r="D3" i="4"/>
  <c r="F3" i="4" s="1"/>
  <c r="E22" i="10"/>
  <c r="E21" i="10"/>
  <c r="E20" i="10"/>
  <c r="H17" i="10"/>
  <c r="G17" i="10"/>
  <c r="F17" i="10"/>
  <c r="G16" i="10"/>
  <c r="F16" i="10"/>
  <c r="H16" i="10" s="1"/>
  <c r="G15" i="10"/>
  <c r="F15" i="10"/>
  <c r="H15" i="10" s="1"/>
  <c r="H14" i="10"/>
  <c r="G14" i="10"/>
  <c r="F14" i="10"/>
  <c r="H13" i="10"/>
  <c r="G13" i="10"/>
  <c r="F13" i="10"/>
  <c r="G12" i="10"/>
  <c r="F12" i="10"/>
  <c r="H12" i="10" s="1"/>
  <c r="G11" i="10"/>
  <c r="F11" i="10"/>
  <c r="H11" i="10" s="1"/>
  <c r="G10" i="10"/>
  <c r="H10" i="10" s="1"/>
  <c r="F10" i="10"/>
  <c r="G9" i="10"/>
  <c r="F9" i="10"/>
  <c r="H9" i="10" s="1"/>
  <c r="G8" i="10"/>
  <c r="F8" i="10"/>
  <c r="H8" i="10" s="1"/>
  <c r="G7" i="10"/>
  <c r="H7" i="10" s="1"/>
  <c r="F7" i="10"/>
  <c r="G6" i="10"/>
  <c r="H6" i="10" s="1"/>
  <c r="F6" i="10"/>
  <c r="H5" i="10"/>
  <c r="G5" i="10"/>
  <c r="F5" i="10"/>
  <c r="G4" i="10"/>
  <c r="F4" i="10"/>
  <c r="H4" i="10" s="1"/>
  <c r="C22" i="9"/>
  <c r="C21" i="9"/>
  <c r="C20" i="9"/>
  <c r="F18" i="9"/>
  <c r="E18" i="9"/>
  <c r="G18" i="9" s="1"/>
  <c r="D18" i="9"/>
  <c r="D17" i="9"/>
  <c r="E17" i="9" s="1"/>
  <c r="D16" i="9"/>
  <c r="E16" i="9" s="1"/>
  <c r="F15" i="9"/>
  <c r="E15" i="9"/>
  <c r="G15" i="9" s="1"/>
  <c r="D15" i="9"/>
  <c r="D14" i="9"/>
  <c r="E14" i="9" s="1"/>
  <c r="D13" i="9"/>
  <c r="E13" i="9" s="1"/>
  <c r="F12" i="9"/>
  <c r="E12" i="9"/>
  <c r="G12" i="9" s="1"/>
  <c r="D12" i="9"/>
  <c r="D11" i="9"/>
  <c r="E11" i="9" s="1"/>
  <c r="D10" i="9"/>
  <c r="E10" i="9" s="1"/>
  <c r="F9" i="9"/>
  <c r="E9" i="9"/>
  <c r="G9" i="9" s="1"/>
  <c r="D9" i="9"/>
  <c r="D8" i="9"/>
  <c r="E8" i="9" s="1"/>
  <c r="D7" i="9"/>
  <c r="E7" i="9" s="1"/>
  <c r="F6" i="9"/>
  <c r="E6" i="9"/>
  <c r="G6" i="9" s="1"/>
  <c r="D6" i="9"/>
  <c r="D5" i="9"/>
  <c r="E5" i="9" s="1"/>
  <c r="A18" i="7"/>
  <c r="A17" i="7"/>
  <c r="E12" i="7"/>
  <c r="D12" i="7"/>
  <c r="D11" i="7"/>
  <c r="E11" i="7" s="1"/>
  <c r="D10" i="7"/>
  <c r="E10" i="7" s="1"/>
  <c r="E9" i="7"/>
  <c r="D9" i="7"/>
  <c r="D8" i="7"/>
  <c r="E8" i="7" s="1"/>
  <c r="D7" i="7"/>
  <c r="E7" i="7" s="1"/>
  <c r="E6" i="7"/>
  <c r="D6" i="7"/>
  <c r="C26" i="1"/>
  <c r="C25" i="1"/>
  <c r="C24" i="1"/>
  <c r="B3" i="3"/>
  <c r="B4" i="3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C8" i="5"/>
  <c r="E17" i="2"/>
  <c r="D17" i="2"/>
  <c r="F16" i="2"/>
  <c r="E16" i="2"/>
  <c r="D16" i="2"/>
  <c r="G16" i="2" s="1"/>
  <c r="E15" i="2"/>
  <c r="D15" i="2"/>
  <c r="F15" i="2" s="1"/>
  <c r="E14" i="2"/>
  <c r="D14" i="2"/>
  <c r="F13" i="2"/>
  <c r="E13" i="2"/>
  <c r="D13" i="2"/>
  <c r="G13" i="2" s="1"/>
  <c r="E12" i="2"/>
  <c r="D12" i="2"/>
  <c r="F12" i="2" s="1"/>
  <c r="E11" i="2"/>
  <c r="D11" i="2"/>
  <c r="F10" i="2"/>
  <c r="E10" i="2"/>
  <c r="D10" i="2"/>
  <c r="G10" i="2" s="1"/>
  <c r="E9" i="2"/>
  <c r="D9" i="2"/>
  <c r="F9" i="2" s="1"/>
  <c r="G7" i="11" l="1"/>
  <c r="H7" i="11"/>
  <c r="G13" i="11"/>
  <c r="H13" i="11" s="1"/>
  <c r="G12" i="11"/>
  <c r="H12" i="11" s="1"/>
  <c r="G8" i="11"/>
  <c r="H8" i="11" s="1"/>
  <c r="G14" i="11"/>
  <c r="H14" i="11" s="1"/>
  <c r="H9" i="11"/>
  <c r="G9" i="11"/>
  <c r="G15" i="11"/>
  <c r="H15" i="11" s="1"/>
  <c r="G10" i="11"/>
  <c r="H10" i="11" s="1"/>
  <c r="G11" i="11"/>
  <c r="H11" i="11" s="1"/>
  <c r="H16" i="11"/>
  <c r="G6" i="11"/>
  <c r="H6" i="11" s="1"/>
  <c r="H17" i="11"/>
  <c r="H5" i="11"/>
  <c r="F19" i="11"/>
  <c r="G4" i="11"/>
  <c r="G19" i="11" s="1"/>
  <c r="G16" i="11"/>
  <c r="F13" i="4"/>
  <c r="I7" i="10"/>
  <c r="J7" i="10" s="1"/>
  <c r="I8" i="10"/>
  <c r="J8" i="10" s="1"/>
  <c r="I9" i="10"/>
  <c r="J9" i="10"/>
  <c r="I4" i="10"/>
  <c r="J4" i="10" s="1"/>
  <c r="I15" i="10"/>
  <c r="J15" i="10"/>
  <c r="I10" i="10"/>
  <c r="J10" i="10" s="1"/>
  <c r="J11" i="10"/>
  <c r="I11" i="10"/>
  <c r="I16" i="10"/>
  <c r="J16" i="10" s="1"/>
  <c r="I12" i="10"/>
  <c r="J12" i="10" s="1"/>
  <c r="J6" i="10"/>
  <c r="I6" i="10"/>
  <c r="I13" i="10"/>
  <c r="J13" i="10" s="1"/>
  <c r="I14" i="10"/>
  <c r="J14" i="10" s="1"/>
  <c r="I5" i="10"/>
  <c r="J5" i="10" s="1"/>
  <c r="I17" i="10"/>
  <c r="J17" i="10" s="1"/>
  <c r="F5" i="9"/>
  <c r="G5" i="9" s="1"/>
  <c r="F13" i="9"/>
  <c r="G13" i="9"/>
  <c r="F14" i="9"/>
  <c r="G14" i="9" s="1"/>
  <c r="F7" i="9"/>
  <c r="G7" i="9" s="1"/>
  <c r="F16" i="9"/>
  <c r="G16" i="9"/>
  <c r="G8" i="9"/>
  <c r="F8" i="9"/>
  <c r="F17" i="9"/>
  <c r="G17" i="9" s="1"/>
  <c r="F10" i="9"/>
  <c r="G10" i="9"/>
  <c r="F11" i="9"/>
  <c r="G11" i="9" s="1"/>
  <c r="G6" i="7"/>
  <c r="F7" i="7"/>
  <c r="G7" i="7" s="1"/>
  <c r="F8" i="7"/>
  <c r="G8" i="7"/>
  <c r="F10" i="7"/>
  <c r="A20" i="7" s="1"/>
  <c r="F11" i="7"/>
  <c r="G11" i="7"/>
  <c r="F6" i="7"/>
  <c r="F9" i="7"/>
  <c r="G9" i="7" s="1"/>
  <c r="F12" i="7"/>
  <c r="G12" i="7" s="1"/>
  <c r="G11" i="2"/>
  <c r="G9" i="2"/>
  <c r="G12" i="2"/>
  <c r="G15" i="2"/>
  <c r="F11" i="2"/>
  <c r="F14" i="2"/>
  <c r="G14" i="2" s="1"/>
  <c r="F17" i="2"/>
  <c r="G17" i="2" s="1"/>
  <c r="H4" i="11" l="1"/>
  <c r="G13" i="7"/>
  <c r="A16" i="7"/>
  <c r="F13" i="7"/>
  <c r="A19" i="7"/>
  <c r="G10" i="7"/>
  <c r="A15" i="7" s="1"/>
  <c r="G19" i="2"/>
  <c r="G20" i="2"/>
  <c r="G21" i="2"/>
  <c r="C22" i="11" l="1"/>
  <c r="C21" i="11"/>
  <c r="C20" i="11"/>
  <c r="H19" i="11"/>
</calcChain>
</file>

<file path=xl/sharedStrings.xml><?xml version="1.0" encoding="utf-8"?>
<sst xmlns="http://schemas.openxmlformats.org/spreadsheetml/2006/main" count="275" uniqueCount="146">
  <si>
    <t>Отчет о финансовых результатах предпиятия за сентябрь</t>
  </si>
  <si>
    <t>Выручка</t>
  </si>
  <si>
    <t>Расход</t>
  </si>
  <si>
    <t>Прибыль</t>
  </si>
  <si>
    <t xml:space="preserve">Оклад работников предприятия </t>
  </si>
  <si>
    <t>статус</t>
  </si>
  <si>
    <t>категория</t>
  </si>
  <si>
    <t>оклад</t>
  </si>
  <si>
    <t>премии</t>
  </si>
  <si>
    <t>начальник</t>
  </si>
  <si>
    <t>инженеры</t>
  </si>
  <si>
    <t>рабочие</t>
  </si>
  <si>
    <t xml:space="preserve">ЗП работников </t>
  </si>
  <si>
    <t>№</t>
  </si>
  <si>
    <t>Фамилия</t>
  </si>
  <si>
    <t>Категория</t>
  </si>
  <si>
    <t>Оклад</t>
  </si>
  <si>
    <t>Премии</t>
  </si>
  <si>
    <t>ПН</t>
  </si>
  <si>
    <t>ЗП</t>
  </si>
  <si>
    <t xml:space="preserve">Иванов </t>
  </si>
  <si>
    <t>Петров</t>
  </si>
  <si>
    <t>Сидоров</t>
  </si>
  <si>
    <t>Колобков</t>
  </si>
  <si>
    <t xml:space="preserve"> Петнегова</t>
  </si>
  <si>
    <t>Алексеева</t>
  </si>
  <si>
    <t xml:space="preserve"> Королев</t>
  </si>
  <si>
    <t>Бурин</t>
  </si>
  <si>
    <t>Еремина</t>
  </si>
  <si>
    <t>Итого</t>
  </si>
  <si>
    <t>Мин ЗП</t>
  </si>
  <si>
    <t>Макс ЗП</t>
  </si>
  <si>
    <t>Выручка от товара за сентябрь</t>
  </si>
  <si>
    <t xml:space="preserve">Курс Доллара </t>
  </si>
  <si>
    <t>Имя товара</t>
  </si>
  <si>
    <t>Цена в долларах</t>
  </si>
  <si>
    <t>Цена в рублях</t>
  </si>
  <si>
    <t>кол-во товара</t>
  </si>
  <si>
    <t xml:space="preserve">Итого </t>
  </si>
  <si>
    <t xml:space="preserve">Товар 1 </t>
  </si>
  <si>
    <t>Товар 2</t>
  </si>
  <si>
    <t>Товар 3</t>
  </si>
  <si>
    <t>Товар 4</t>
  </si>
  <si>
    <t>Товар 5</t>
  </si>
  <si>
    <t>Товар 6</t>
  </si>
  <si>
    <t>Товар 7</t>
  </si>
  <si>
    <t>Товар 8</t>
  </si>
  <si>
    <t>Товар 9</t>
  </si>
  <si>
    <t>Товар 10</t>
  </si>
  <si>
    <t>Расходы за сентябрь</t>
  </si>
  <si>
    <t>Расходы</t>
  </si>
  <si>
    <t>Сумма в рублях</t>
  </si>
  <si>
    <t xml:space="preserve">Коммерчиские </t>
  </si>
  <si>
    <t>Канцелярские</t>
  </si>
  <si>
    <t>Транспортные</t>
  </si>
  <si>
    <t>Прочее</t>
  </si>
  <si>
    <t xml:space="preserve">Ведомость учета заказов </t>
  </si>
  <si>
    <t>ФИО заказчика</t>
  </si>
  <si>
    <t>Наименование товара</t>
  </si>
  <si>
    <t>Дата заказа</t>
  </si>
  <si>
    <t xml:space="preserve">Кол-во единиц товара в заказе </t>
  </si>
  <si>
    <t xml:space="preserve">Кол-во оплаченных единиц товара в заказе </t>
  </si>
  <si>
    <t>Цена единицы товара</t>
  </si>
  <si>
    <t>Стоимость заказа</t>
  </si>
  <si>
    <t>Белых А.П</t>
  </si>
  <si>
    <t xml:space="preserve">Пароварка </t>
  </si>
  <si>
    <t>Михайлов Н.А.</t>
  </si>
  <si>
    <t>Мультиварка</t>
  </si>
  <si>
    <t>Седова Н.Р.</t>
  </si>
  <si>
    <t>Миксер</t>
  </si>
  <si>
    <t>Зотова А.Ф.</t>
  </si>
  <si>
    <t>Чайник</t>
  </si>
  <si>
    <t>Блендер</t>
  </si>
  <si>
    <t>Кофеварка</t>
  </si>
  <si>
    <t>Кофемолка</t>
  </si>
  <si>
    <t>Тостер</t>
  </si>
  <si>
    <t>ВЕДОМОСТЬ НАЧИСЛЕНИЯ ЗП</t>
  </si>
  <si>
    <t>за 4 квартал 20____г.</t>
  </si>
  <si>
    <t>Табельный номер</t>
  </si>
  <si>
    <t>ФИО</t>
  </si>
  <si>
    <t xml:space="preserve">Подразделение </t>
  </si>
  <si>
    <t xml:space="preserve">Всего начислено </t>
  </si>
  <si>
    <t xml:space="preserve">Удержания </t>
  </si>
  <si>
    <t>К выдаче</t>
  </si>
  <si>
    <t>Иванов И.Г.</t>
  </si>
  <si>
    <t>Бухгалтерия</t>
  </si>
  <si>
    <t>Степанов А.Ш.</t>
  </si>
  <si>
    <t>Шашкни Р.Н.</t>
  </si>
  <si>
    <t>Бухгалтерия Итог</t>
  </si>
  <si>
    <t>Галкин В.Ж.</t>
  </si>
  <si>
    <t xml:space="preserve">Отдел менеджмента </t>
  </si>
  <si>
    <t>Дрынкина С.С.</t>
  </si>
  <si>
    <t>Портнов М.Т.</t>
  </si>
  <si>
    <t>Стелков Р.Х.</t>
  </si>
  <si>
    <t>Стольникова О.Д.</t>
  </si>
  <si>
    <t>Отдел менеджмента  Итог</t>
  </si>
  <si>
    <t>Жарова Г.А.</t>
  </si>
  <si>
    <t>Отдел реализации</t>
  </si>
  <si>
    <t>Орлова Н.Н.</t>
  </si>
  <si>
    <t>Петров И.Л.</t>
  </si>
  <si>
    <t>Степкина А.В.</t>
  </si>
  <si>
    <t>Шорохо С.М</t>
  </si>
  <si>
    <t>Шпаро Н.Г.</t>
  </si>
  <si>
    <t>Отдел реализации Итог</t>
  </si>
  <si>
    <t>Общий итог</t>
  </si>
  <si>
    <t>Всего:</t>
  </si>
  <si>
    <t>Максимальный доход</t>
  </si>
  <si>
    <t>Минимальный доход</t>
  </si>
  <si>
    <t>Средний доход</t>
  </si>
  <si>
    <t>Районный коэффициент</t>
  </si>
  <si>
    <t xml:space="preserve">Ставка подоходного налога </t>
  </si>
  <si>
    <t>ведомость начисления з/п</t>
  </si>
  <si>
    <t xml:space="preserve"> Налог</t>
  </si>
  <si>
    <t>Районный коэф.</t>
  </si>
  <si>
    <t>Начислено</t>
  </si>
  <si>
    <t>Подоходный налог</t>
  </si>
  <si>
    <t>Сумма к выдаче</t>
  </si>
  <si>
    <t>Серова Н.Р.</t>
  </si>
  <si>
    <t>Яковлева И.О.</t>
  </si>
  <si>
    <t>Николаев И.В.</t>
  </si>
  <si>
    <t>Семенов А.Д</t>
  </si>
  <si>
    <t>Антонова Е.Н.</t>
  </si>
  <si>
    <t>Осипова А.Л.</t>
  </si>
  <si>
    <t>Миронов П.О.</t>
  </si>
  <si>
    <t>ИТОГО</t>
  </si>
  <si>
    <t>Максимальная сумма к выдаче</t>
  </si>
  <si>
    <t>Минимальный налог</t>
  </si>
  <si>
    <t>Средний оклад</t>
  </si>
  <si>
    <t>Рабочие, с окладом выше 16 000</t>
  </si>
  <si>
    <t>Суммарный подоходный налог рабочих, с налогом выше 0</t>
  </si>
  <si>
    <t>Суммарный подоходный налог рабочих, с окладом выше 16 000 руб. без налоговых вычетов</t>
  </si>
  <si>
    <t>"МАКС(G6:G12)"</t>
  </si>
  <si>
    <r>
      <t>"МИН(F6:F12)</t>
    </r>
    <r>
      <rPr>
        <b/>
        <sz val="11"/>
        <color theme="1"/>
        <rFont val="Calibri"/>
        <family val="2"/>
        <charset val="204"/>
        <scheme val="minor"/>
      </rPr>
      <t>"</t>
    </r>
  </si>
  <si>
    <t>"СРЗНАЧ(B6:B12)"</t>
  </si>
  <si>
    <t>"=СЧЁТЕСЛИ(B6:B12; "&gt;16000")"</t>
  </si>
  <si>
    <t>"=СУММЕСЛИ(C6:C12; "&gt;0"; F6:F12)"</t>
  </si>
  <si>
    <t>"=СУММЕСЛИМН(F6:F12; B6:B12; "&gt;16000"; C6:C12; 0)"</t>
  </si>
  <si>
    <t>за октябрь 20____г.</t>
  </si>
  <si>
    <t xml:space="preserve">Премия </t>
  </si>
  <si>
    <t>за ноябрь 20____г.</t>
  </si>
  <si>
    <t xml:space="preserve">Доплата </t>
  </si>
  <si>
    <t>за декабрь 20____г.</t>
  </si>
  <si>
    <t>Расчет надбавки</t>
  </si>
  <si>
    <t>Сообщение о надбавке</t>
  </si>
  <si>
    <t>Величина надбав- ки</t>
  </si>
  <si>
    <t>Итоговая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</si>
</sst>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₽&quot;"/>
    <numFmt numFmtId="165" formatCode="[$$-409]#,##0.00"/>
    <numFmt numFmtId="166" formatCode="#,##0.00\ _ш\ш\т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A0A0A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4" fontId="2" fillId="0" borderId="1" xfId="0" applyNumberFormat="1" applyFont="1" applyBorder="1" applyAlignment="1">
      <alignment vertical="center" wrapText="1"/>
    </xf>
    <xf numFmtId="0" fontId="0" fillId="0" borderId="5" xfId="0" applyBorder="1"/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0" fillId="0" borderId="0" xfId="0" applyNumberFormat="1"/>
    <xf numFmtId="9" fontId="0" fillId="0" borderId="1" xfId="0" applyNumberFormat="1" applyBorder="1"/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 applyProtection="1">
      <alignment horizontal="center" vertical="center"/>
      <protection locked="0"/>
    </xf>
    <xf numFmtId="2" fontId="0" fillId="0" borderId="1" xfId="0" applyNumberFormat="1" applyBorder="1" applyAlignment="1" applyProtection="1">
      <alignment horizontal="center" vertical="center"/>
      <protection locked="0"/>
    </xf>
    <xf numFmtId="9" fontId="0" fillId="0" borderId="1" xfId="0" applyNumberFormat="1" applyBorder="1" applyAlignment="1" applyProtection="1">
      <alignment horizontal="center" vertical="center"/>
      <protection locked="0"/>
    </xf>
    <xf numFmtId="4" fontId="0" fillId="0" borderId="0" xfId="0" applyNumberFormat="1"/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" xfId="0" applyBorder="1"/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</cellXfs>
  <cellStyles count="1">
    <cellStyle name="Обычный" xfId="0" builtinId="0"/>
  </cellStyles>
  <dxfs count="25">
    <dxf>
      <font>
        <color rgb="FF0070C0"/>
      </font>
      <fill>
        <patternFill>
          <bgColor rgb="FFFFC000"/>
        </patternFill>
      </fill>
    </dxf>
    <dxf>
      <font>
        <color theme="9"/>
      </font>
    </dxf>
    <dxf>
      <font>
        <color theme="0"/>
      </font>
      <fill>
        <patternFill>
          <fgColor theme="9"/>
        </patternFill>
      </fill>
    </dxf>
    <dxf>
      <font>
        <color theme="0"/>
      </font>
      <fill>
        <patternFill>
          <fgColor theme="9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</dxf>
    <dxf>
      <font>
        <color theme="1"/>
      </font>
      <fill>
        <patternFill>
          <bgColor rgb="FFFF6699"/>
        </patternFill>
      </fill>
    </dxf>
    <dxf>
      <font>
        <color theme="0"/>
      </font>
      <fill>
        <patternFill>
          <bgColor rgb="FFFF00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rgb="FFFFC000"/>
        </patternFill>
      </fill>
    </dxf>
    <dxf>
      <font>
        <color theme="9"/>
      </font>
    </dxf>
    <dxf>
      <font>
        <color theme="0"/>
      </font>
      <fill>
        <patternFill>
          <fgColor theme="9"/>
        </patternFill>
      </fill>
    </dxf>
    <dxf>
      <font>
        <color theme="0"/>
      </font>
      <fill>
        <patternFill>
          <fgColor theme="9"/>
        </patternFill>
      </fill>
    </dxf>
    <dxf>
      <font>
        <color theme="2"/>
      </font>
      <fill>
        <patternFill>
          <bgColor theme="9"/>
        </patternFill>
      </fill>
    </dxf>
    <dxf>
      <font>
        <color rgb="FF9C0006"/>
      </font>
    </dxf>
    <dxf>
      <font>
        <color theme="1"/>
      </font>
      <fill>
        <patternFill>
          <bgColor rgb="FFFF6699"/>
        </patternFill>
      </fill>
    </dxf>
    <dxf>
      <font>
        <color theme="0"/>
      </font>
      <fill>
        <patternFill>
          <bgColor rgb="FFFF0066"/>
        </patternFill>
      </fill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theme="9"/>
      </font>
    </dxf>
    <dxf>
      <font>
        <color rgb="FF0070C0"/>
      </font>
    </dxf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color theme="9"/>
      </font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800" b="1">
                <a:effectLst/>
              </a:rPr>
              <a:t>гистограмма доходов сотрудников</a:t>
            </a:r>
            <a:endParaRPr lang="ru-RU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'[2]ЗП декабрь'!$B$4:$B$17</c:f>
              <c:strCache>
                <c:ptCount val="14"/>
                <c:pt idx="0">
                  <c:v>Петров И.Л.</c:v>
                </c:pt>
                <c:pt idx="1">
                  <c:v>Иванов И.Г.</c:v>
                </c:pt>
                <c:pt idx="2">
                  <c:v>Степанов А.Ш.</c:v>
                </c:pt>
                <c:pt idx="3">
                  <c:v>Шорохо С.М</c:v>
                </c:pt>
                <c:pt idx="4">
                  <c:v>Галкин В.Ж.</c:v>
                </c:pt>
                <c:pt idx="5">
                  <c:v>Портнов М.Т.</c:v>
                </c:pt>
                <c:pt idx="6">
                  <c:v>Орлова Н.Н.</c:v>
                </c:pt>
                <c:pt idx="7">
                  <c:v>Степкина А.В.</c:v>
                </c:pt>
                <c:pt idx="8">
                  <c:v>Жарова Г.А.</c:v>
                </c:pt>
                <c:pt idx="9">
                  <c:v>Стольникова О.Д.</c:v>
                </c:pt>
                <c:pt idx="10">
                  <c:v>Дрынкина С.С.</c:v>
                </c:pt>
                <c:pt idx="11">
                  <c:v>Шпаро Н.Г.</c:v>
                </c:pt>
                <c:pt idx="12">
                  <c:v>Шашкни Р.Н.</c:v>
                </c:pt>
                <c:pt idx="13">
                  <c:v>Стелков Р.Х.</c:v>
                </c:pt>
              </c:strCache>
            </c:strRef>
          </c:cat>
          <c:val>
            <c:numRef>
              <c:f>'[2]ЗП декабрь'!$H$4:$H$17</c:f>
              <c:numCache>
                <c:formatCode>0.00</c:formatCode>
                <c:ptCount val="14"/>
                <c:pt idx="0">
                  <c:v>6029.1</c:v>
                </c:pt>
                <c:pt idx="1">
                  <c:v>6498.03</c:v>
                </c:pt>
                <c:pt idx="2">
                  <c:v>6966.96</c:v>
                </c:pt>
                <c:pt idx="3">
                  <c:v>7435.8899999999994</c:v>
                </c:pt>
                <c:pt idx="4">
                  <c:v>7904.82</c:v>
                </c:pt>
                <c:pt idx="5">
                  <c:v>8373.75</c:v>
                </c:pt>
                <c:pt idx="6">
                  <c:v>8842.68</c:v>
                </c:pt>
                <c:pt idx="7">
                  <c:v>9311.61</c:v>
                </c:pt>
                <c:pt idx="8">
                  <c:v>9780.5400000000009</c:v>
                </c:pt>
                <c:pt idx="9">
                  <c:v>10249.469999999999</c:v>
                </c:pt>
                <c:pt idx="10">
                  <c:v>10718.4</c:v>
                </c:pt>
                <c:pt idx="11">
                  <c:v>11187.33</c:v>
                </c:pt>
                <c:pt idx="12">
                  <c:v>11656.26</c:v>
                </c:pt>
                <c:pt idx="13">
                  <c:v>12125.19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F-4462-A179-015C8FB75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03888656"/>
        <c:axId val="1203902384"/>
        <c:axId val="0"/>
      </c:bar3DChart>
      <c:catAx>
        <c:axId val="120388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902384"/>
        <c:crosses val="autoZero"/>
        <c:auto val="1"/>
        <c:lblAlgn val="ctr"/>
        <c:lblOffset val="100"/>
        <c:noMultiLvlLbl val="0"/>
      </c:catAx>
      <c:valAx>
        <c:axId val="120390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388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Всего</a:t>
            </a:r>
            <a:r>
              <a:rPr lang="ru-RU" baseline="0"/>
              <a:t> начислено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EC-4783-874C-F2FD521803C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EC-4783-874C-F2FD521803C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EC-4783-874C-F2FD521803C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EC-4783-874C-F2FD521803C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EC-4783-874C-F2FD521803C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EC-4783-874C-F2FD521803C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EC-4783-874C-F2FD521803C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EC-4783-874C-F2FD521803C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EC-4783-874C-F2FD521803C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EC-4783-874C-F2FD521803C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EC-4783-874C-F2FD521803C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1EC-4783-874C-F2FD521803CD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1EC-4783-874C-F2FD521803CD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1EC-4783-874C-F2FD521803CD}"/>
              </c:ext>
            </c:extLst>
          </c:dPt>
          <c:val>
            <c:numRef>
              <c:f>'[2]ЗП ноябрь'!$F$4:$F$17</c:f>
              <c:numCache>
                <c:formatCode>0.00</c:formatCode>
                <c:ptCount val="14"/>
                <c:pt idx="0">
                  <c:v>6165</c:v>
                </c:pt>
                <c:pt idx="1">
                  <c:v>6644.5</c:v>
                </c:pt>
                <c:pt idx="2">
                  <c:v>7124</c:v>
                </c:pt>
                <c:pt idx="3">
                  <c:v>7603.5</c:v>
                </c:pt>
                <c:pt idx="4">
                  <c:v>8083</c:v>
                </c:pt>
                <c:pt idx="5">
                  <c:v>8562.5</c:v>
                </c:pt>
                <c:pt idx="6">
                  <c:v>9042</c:v>
                </c:pt>
                <c:pt idx="7">
                  <c:v>9521.5</c:v>
                </c:pt>
                <c:pt idx="8">
                  <c:v>10001</c:v>
                </c:pt>
                <c:pt idx="9">
                  <c:v>10480.5</c:v>
                </c:pt>
                <c:pt idx="10">
                  <c:v>10960</c:v>
                </c:pt>
                <c:pt idx="11">
                  <c:v>11439.5</c:v>
                </c:pt>
                <c:pt idx="12">
                  <c:v>11919</c:v>
                </c:pt>
                <c:pt idx="13">
                  <c:v>12398.5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1EC-4783-874C-F2FD52180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[2]Оклад!$B$9:$B$17</c:f>
              <c:strCache>
                <c:ptCount val="9"/>
                <c:pt idx="0">
                  <c:v>Иванов </c:v>
                </c:pt>
                <c:pt idx="1">
                  <c:v>Петров</c:v>
                </c:pt>
                <c:pt idx="2">
                  <c:v>Сидоров</c:v>
                </c:pt>
                <c:pt idx="3">
                  <c:v>Колобков</c:v>
                </c:pt>
                <c:pt idx="4">
                  <c:v> Петнегова</c:v>
                </c:pt>
                <c:pt idx="5">
                  <c:v>Алексеева</c:v>
                </c:pt>
                <c:pt idx="6">
                  <c:v> Королев</c:v>
                </c:pt>
                <c:pt idx="7">
                  <c:v>Бурин</c:v>
                </c:pt>
                <c:pt idx="8">
                  <c:v>Еремина</c:v>
                </c:pt>
              </c:strCache>
            </c:strRef>
          </c:cat>
          <c:val>
            <c:numRef>
              <c:f>[2]Оклад!$G$9:$G$17</c:f>
              <c:numCache>
                <c:formatCode>0.00</c:formatCode>
                <c:ptCount val="9"/>
                <c:pt idx="0">
                  <c:v>11701.630499999999</c:v>
                </c:pt>
                <c:pt idx="1">
                  <c:v>7762.4618999999993</c:v>
                </c:pt>
                <c:pt idx="2">
                  <c:v>11701.630499999999</c:v>
                </c:pt>
                <c:pt idx="3">
                  <c:v>7762.4618999999993</c:v>
                </c:pt>
                <c:pt idx="4">
                  <c:v>7762.4618999999993</c:v>
                </c:pt>
                <c:pt idx="5">
                  <c:v>7762.4618999999993</c:v>
                </c:pt>
                <c:pt idx="6">
                  <c:v>15883.329000000002</c:v>
                </c:pt>
                <c:pt idx="7">
                  <c:v>7762.4618999999993</c:v>
                </c:pt>
                <c:pt idx="8">
                  <c:v>7762.4618999999993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6-40C1-8233-67E1DFD55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9237264"/>
        <c:axId val="1169229776"/>
        <c:axId val="0"/>
      </c:bar3DChart>
      <c:catAx>
        <c:axId val="116923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229776"/>
        <c:crosses val="autoZero"/>
        <c:auto val="1"/>
        <c:lblAlgn val="ctr"/>
        <c:lblOffset val="100"/>
        <c:noMultiLvlLbl val="0"/>
      </c:catAx>
      <c:valAx>
        <c:axId val="116922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6923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247650</xdr:colOff>
      <xdr:row>2</xdr:row>
      <xdr:rowOff>42862</xdr:rowOff>
    </xdr:from>
    <xdr:to>
      <xdr:col>15</xdr:col>
      <xdr:colOff>552450</xdr:colOff>
      <xdr:row>16</xdr:row>
      <xdr:rowOff>119062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2B983C4-4F4F-4F38-9CDD-994C99E403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22</xdr:row>
      <xdr:rowOff>19050</xdr:rowOff>
    </xdr:from>
    <xdr:to>
      <xdr:col>15</xdr:col>
      <xdr:colOff>314325</xdr:colOff>
      <xdr:row>36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519FBA3-9046-49FF-B603-28EFD6B1DF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5</xdr:row>
      <xdr:rowOff>4762</xdr:rowOff>
    </xdr:from>
    <xdr:to>
      <xdr:col>15</xdr:col>
      <xdr:colOff>476250</xdr:colOff>
      <xdr:row>19</xdr:row>
      <xdr:rowOff>80962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D2B003-B9D9-467B-AC57-73C12D21E8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&#1087;%201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91;&#1089;&#1086;&#1088;/&#1047;&#1072;&#1076;&#1072;&#1085;&#1080;&#10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</sheetNames>
    <sheetDataSet>
      <sheetData sheetId="0">
        <row r="1">
          <cell r="A1" t="str">
            <v>x</v>
          </cell>
          <cell r="B1" t="str">
            <v>sin(x)</v>
          </cell>
          <cell r="C1" t="str">
            <v>cos(x)</v>
          </cell>
          <cell r="D1" t="str">
            <v>Параболла</v>
          </cell>
          <cell r="E1" t="str">
            <v>z</v>
          </cell>
        </row>
        <row r="2">
          <cell r="A2">
            <v>-3</v>
          </cell>
          <cell r="B2">
            <v>-0.14112000805986721</v>
          </cell>
          <cell r="C2">
            <v>-0.98999249660044542</v>
          </cell>
          <cell r="D2">
            <v>9</v>
          </cell>
          <cell r="E2">
            <v>-15</v>
          </cell>
        </row>
        <row r="3">
          <cell r="A3">
            <v>-2.8</v>
          </cell>
          <cell r="B3">
            <v>-0.33498815015590511</v>
          </cell>
          <cell r="C3">
            <v>-0.94222234066865806</v>
          </cell>
          <cell r="D3">
            <v>7.839999999999999</v>
          </cell>
          <cell r="E3">
            <v>-14</v>
          </cell>
        </row>
        <row r="4">
          <cell r="A4">
            <v>-2.5999999999999996</v>
          </cell>
          <cell r="B4">
            <v>-0.51550137182146449</v>
          </cell>
          <cell r="C4">
            <v>-0.8568887533689471</v>
          </cell>
          <cell r="D4">
            <v>6.759999999999998</v>
          </cell>
          <cell r="E4">
            <v>-12.999999999999998</v>
          </cell>
        </row>
        <row r="5">
          <cell r="A5">
            <v>-2.3999999999999995</v>
          </cell>
          <cell r="B5">
            <v>-0.67546318055115129</v>
          </cell>
          <cell r="C5">
            <v>-0.73739371554124511</v>
          </cell>
          <cell r="D5">
            <v>5.7599999999999971</v>
          </cell>
          <cell r="E5">
            <v>-11.999999999999996</v>
          </cell>
        </row>
        <row r="6">
          <cell r="A6">
            <v>-2.1999999999999993</v>
          </cell>
          <cell r="B6">
            <v>-0.80849640381959065</v>
          </cell>
          <cell r="C6">
            <v>-0.58850111725534515</v>
          </cell>
          <cell r="D6">
            <v>4.8399999999999972</v>
          </cell>
          <cell r="E6">
            <v>-10.999999999999996</v>
          </cell>
        </row>
        <row r="7">
          <cell r="A7">
            <v>-1.9999999999999993</v>
          </cell>
          <cell r="B7">
            <v>-0.90929742682568193</v>
          </cell>
          <cell r="C7">
            <v>-0.4161468365471418</v>
          </cell>
          <cell r="D7">
            <v>3.9999999999999973</v>
          </cell>
          <cell r="E7">
            <v>-9.9999999999999964</v>
          </cell>
        </row>
        <row r="8">
          <cell r="A8">
            <v>-1.7999999999999994</v>
          </cell>
          <cell r="B8">
            <v>-0.97384763087819537</v>
          </cell>
          <cell r="C8">
            <v>-0.22720209469308644</v>
          </cell>
          <cell r="D8">
            <v>3.2399999999999975</v>
          </cell>
          <cell r="E8">
            <v>-8.9999999999999964</v>
          </cell>
        </row>
        <row r="9">
          <cell r="A9">
            <v>-1.5999999999999994</v>
          </cell>
          <cell r="B9">
            <v>-0.99957360304150522</v>
          </cell>
          <cell r="C9">
            <v>-2.9199522301288149E-2</v>
          </cell>
          <cell r="D9">
            <v>2.5599999999999983</v>
          </cell>
          <cell r="E9">
            <v>-7.9999999999999973</v>
          </cell>
        </row>
        <row r="10">
          <cell r="A10">
            <v>-1.3999999999999995</v>
          </cell>
          <cell r="B10">
            <v>-0.98544972998846014</v>
          </cell>
          <cell r="C10">
            <v>0.16996714290024145</v>
          </cell>
          <cell r="D10">
            <v>1.9599999999999984</v>
          </cell>
          <cell r="E10">
            <v>-6.9999999999999973</v>
          </cell>
        </row>
        <row r="11">
          <cell r="A11">
            <v>-1.1999999999999995</v>
          </cell>
          <cell r="B11">
            <v>-0.93203908596722618</v>
          </cell>
          <cell r="C11">
            <v>0.36235775447667401</v>
          </cell>
          <cell r="D11">
            <v>1.4399999999999988</v>
          </cell>
          <cell r="E11">
            <v>-5.9999999999999973</v>
          </cell>
        </row>
        <row r="12">
          <cell r="A12">
            <v>-0.99999999999999956</v>
          </cell>
          <cell r="B12">
            <v>-0.84147098480789628</v>
          </cell>
          <cell r="C12">
            <v>0.5403023058681401</v>
          </cell>
          <cell r="D12">
            <v>0.99999999999999911</v>
          </cell>
          <cell r="E12">
            <v>-4.9999999999999982</v>
          </cell>
        </row>
        <row r="13">
          <cell r="A13">
            <v>-0.7999999999999996</v>
          </cell>
          <cell r="B13">
            <v>-0.71735609089952246</v>
          </cell>
          <cell r="C13">
            <v>0.69670670934716572</v>
          </cell>
          <cell r="D13">
            <v>0.63999999999999935</v>
          </cell>
          <cell r="E13">
            <v>-3.9999999999999982</v>
          </cell>
        </row>
        <row r="14">
          <cell r="A14">
            <v>-0.59999999999999964</v>
          </cell>
          <cell r="B14">
            <v>-0.56464247339503504</v>
          </cell>
          <cell r="C14">
            <v>0.82533561490967855</v>
          </cell>
          <cell r="D14">
            <v>0.3599999999999996</v>
          </cell>
          <cell r="E14">
            <v>-2.9999999999999982</v>
          </cell>
        </row>
        <row r="15">
          <cell r="A15">
            <v>-0.39999999999999963</v>
          </cell>
          <cell r="B15">
            <v>-0.38941834230865013</v>
          </cell>
          <cell r="C15">
            <v>0.92106099400288521</v>
          </cell>
          <cell r="D15">
            <v>0.1599999999999997</v>
          </cell>
          <cell r="E15">
            <v>-1.9999999999999982</v>
          </cell>
        </row>
        <row r="16">
          <cell r="A16">
            <v>-0.19999999999999962</v>
          </cell>
          <cell r="B16">
            <v>-0.19866933079506086</v>
          </cell>
          <cell r="C16">
            <v>0.98006657784124174</v>
          </cell>
          <cell r="D16">
            <v>3.9999999999999848E-2</v>
          </cell>
          <cell r="E16">
            <v>-0.99999999999999811</v>
          </cell>
        </row>
        <row r="17">
          <cell r="A17">
            <v>3.8857805861880479E-16</v>
          </cell>
          <cell r="B17">
            <v>3.8857805861880479E-16</v>
          </cell>
          <cell r="C17">
            <v>1</v>
          </cell>
          <cell r="D17">
            <v>1.5099290763995929E-31</v>
          </cell>
          <cell r="E17">
            <v>1.5099290763995929E-31</v>
          </cell>
        </row>
        <row r="18">
          <cell r="A18">
            <v>0.2000000000000004</v>
          </cell>
          <cell r="B18">
            <v>0.1986693307950616</v>
          </cell>
          <cell r="C18">
            <v>0.98006657784124152</v>
          </cell>
          <cell r="D18">
            <v>4.000000000000016E-2</v>
          </cell>
          <cell r="E18">
            <v>4.000000000000016E-2</v>
          </cell>
        </row>
        <row r="19">
          <cell r="A19">
            <v>0.40000000000000041</v>
          </cell>
          <cell r="B19">
            <v>0.38941834230865086</v>
          </cell>
          <cell r="C19">
            <v>0.92106099400288488</v>
          </cell>
          <cell r="D19">
            <v>0.16000000000000034</v>
          </cell>
          <cell r="E19">
            <v>0.16000000000000034</v>
          </cell>
        </row>
        <row r="20">
          <cell r="A20">
            <v>0.60000000000000042</v>
          </cell>
          <cell r="B20">
            <v>0.5646424733950357</v>
          </cell>
          <cell r="C20">
            <v>0.82533561490967811</v>
          </cell>
          <cell r="D20">
            <v>0.36000000000000049</v>
          </cell>
          <cell r="E20">
            <v>0.36000000000000049</v>
          </cell>
        </row>
        <row r="21">
          <cell r="A21">
            <v>0.80000000000000049</v>
          </cell>
          <cell r="B21">
            <v>0.71735609089952312</v>
          </cell>
          <cell r="C21">
            <v>0.69670670934716505</v>
          </cell>
          <cell r="D21">
            <v>0.64000000000000079</v>
          </cell>
          <cell r="E21">
            <v>0.64000000000000079</v>
          </cell>
        </row>
        <row r="22">
          <cell r="A22">
            <v>1.0000000000000004</v>
          </cell>
          <cell r="B22">
            <v>0.84147098480789673</v>
          </cell>
          <cell r="C22">
            <v>0.54030230586813932</v>
          </cell>
          <cell r="D22">
            <v>1.0000000000000009</v>
          </cell>
          <cell r="E22">
            <v>1.0000000000000009</v>
          </cell>
        </row>
        <row r="23">
          <cell r="A23">
            <v>1.2000000000000004</v>
          </cell>
          <cell r="B23">
            <v>0.93203908596722651</v>
          </cell>
          <cell r="C23">
            <v>0.36235775447667323</v>
          </cell>
          <cell r="D23">
            <v>1.4400000000000011</v>
          </cell>
          <cell r="E23">
            <v>1.4400000000000011</v>
          </cell>
        </row>
        <row r="24">
          <cell r="A24">
            <v>1.4000000000000004</v>
          </cell>
          <cell r="B24">
            <v>0.98544972998846025</v>
          </cell>
          <cell r="C24">
            <v>0.16996714290024059</v>
          </cell>
          <cell r="D24">
            <v>1.9600000000000011</v>
          </cell>
          <cell r="E24">
            <v>1.9600000000000011</v>
          </cell>
        </row>
        <row r="25">
          <cell r="A25">
            <v>1.6000000000000003</v>
          </cell>
          <cell r="B25">
            <v>0.99957360304150511</v>
          </cell>
          <cell r="C25">
            <v>-2.9199522301289037E-2</v>
          </cell>
          <cell r="D25">
            <v>2.5600000000000009</v>
          </cell>
          <cell r="E25">
            <v>2.5600000000000009</v>
          </cell>
        </row>
        <row r="26">
          <cell r="A26">
            <v>1.8000000000000003</v>
          </cell>
          <cell r="B26">
            <v>0.97384763087819515</v>
          </cell>
          <cell r="C26">
            <v>-0.2272020946930873</v>
          </cell>
          <cell r="D26">
            <v>3.2400000000000011</v>
          </cell>
          <cell r="E26">
            <v>3.2400000000000011</v>
          </cell>
        </row>
        <row r="27">
          <cell r="A27">
            <v>2.0000000000000004</v>
          </cell>
          <cell r="B27">
            <v>0.90929742682568149</v>
          </cell>
          <cell r="C27">
            <v>-0.4161468365471428</v>
          </cell>
          <cell r="D27">
            <v>4.0000000000000018</v>
          </cell>
          <cell r="E27">
            <v>4.0000000000000018</v>
          </cell>
        </row>
        <row r="28">
          <cell r="A28">
            <v>2.2000000000000006</v>
          </cell>
          <cell r="B28">
            <v>0.80849640381958987</v>
          </cell>
          <cell r="C28">
            <v>-0.58850111725534626</v>
          </cell>
          <cell r="D28">
            <v>4.8400000000000025</v>
          </cell>
          <cell r="E28">
            <v>4.8400000000000025</v>
          </cell>
        </row>
        <row r="29">
          <cell r="A29">
            <v>2.4000000000000008</v>
          </cell>
          <cell r="B29">
            <v>0.67546318055115029</v>
          </cell>
          <cell r="C29">
            <v>-0.737393715541246</v>
          </cell>
          <cell r="D29">
            <v>5.7600000000000042</v>
          </cell>
          <cell r="E29">
            <v>5.7600000000000042</v>
          </cell>
        </row>
        <row r="30">
          <cell r="A30">
            <v>2.600000000000001</v>
          </cell>
          <cell r="B30">
            <v>0.51550137182146338</v>
          </cell>
          <cell r="C30">
            <v>-0.85688875336894776</v>
          </cell>
          <cell r="D30">
            <v>6.7600000000000051</v>
          </cell>
          <cell r="E30">
            <v>6.7600000000000051</v>
          </cell>
        </row>
        <row r="31">
          <cell r="A31">
            <v>2.8000000000000012</v>
          </cell>
          <cell r="B31">
            <v>0.33498815015590383</v>
          </cell>
          <cell r="C31">
            <v>-0.94222234066865851</v>
          </cell>
          <cell r="D31">
            <v>7.8400000000000061</v>
          </cell>
          <cell r="E31">
            <v>7.8400000000000061</v>
          </cell>
        </row>
        <row r="32">
          <cell r="A32">
            <v>3.0000000000000013</v>
          </cell>
          <cell r="B32">
            <v>0.14112000805986591</v>
          </cell>
          <cell r="C32">
            <v>-0.98999249660044564</v>
          </cell>
          <cell r="D32">
            <v>9.0000000000000071</v>
          </cell>
          <cell r="E32">
            <v>9.0000000000000071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домость"/>
      <sheetName val="Формулы"/>
      <sheetName val="Лист2"/>
      <sheetName val="ЗП октябрь"/>
      <sheetName val="ЗП ноябрь"/>
      <sheetName val="ЗП декабрь"/>
      <sheetName val="Итоги за квартал"/>
      <sheetName val="Оклад"/>
      <sheetName val="Итоги"/>
      <sheetName val="Выручка"/>
      <sheetName val="Расходы"/>
      <sheetName val="Учет заказов"/>
    </sheetNames>
    <sheetDataSet>
      <sheetData sheetId="0"/>
      <sheetData sheetId="1"/>
      <sheetData sheetId="2"/>
      <sheetData sheetId="3"/>
      <sheetData sheetId="4">
        <row r="4">
          <cell r="F4">
            <v>6165</v>
          </cell>
        </row>
        <row r="5">
          <cell r="F5">
            <v>6644.5</v>
          </cell>
        </row>
        <row r="6">
          <cell r="F6">
            <v>7124</v>
          </cell>
        </row>
        <row r="7">
          <cell r="F7">
            <v>7603.5</v>
          </cell>
        </row>
        <row r="8">
          <cell r="F8">
            <v>8083</v>
          </cell>
        </row>
        <row r="9">
          <cell r="F9">
            <v>8562.5</v>
          </cell>
        </row>
        <row r="10">
          <cell r="F10">
            <v>9042</v>
          </cell>
        </row>
        <row r="11">
          <cell r="F11">
            <v>9521.5</v>
          </cell>
        </row>
        <row r="12">
          <cell r="F12">
            <v>10001</v>
          </cell>
        </row>
        <row r="13">
          <cell r="F13">
            <v>10480.5</v>
          </cell>
        </row>
        <row r="14">
          <cell r="F14">
            <v>10960</v>
          </cell>
        </row>
        <row r="15">
          <cell r="F15">
            <v>11439.5</v>
          </cell>
        </row>
        <row r="16">
          <cell r="F16">
            <v>11919</v>
          </cell>
        </row>
        <row r="17">
          <cell r="F17">
            <v>12398.5</v>
          </cell>
        </row>
      </sheetData>
      <sheetData sheetId="5">
        <row r="4">
          <cell r="B4" t="str">
            <v>Петров И.Л.</v>
          </cell>
          <cell r="H4">
            <v>6029.1</v>
          </cell>
        </row>
        <row r="5">
          <cell r="B5" t="str">
            <v>Иванов И.Г.</v>
          </cell>
          <cell r="H5">
            <v>6498.03</v>
          </cell>
        </row>
        <row r="6">
          <cell r="B6" t="str">
            <v>Степанов А.Ш.</v>
          </cell>
          <cell r="H6">
            <v>6966.96</v>
          </cell>
        </row>
        <row r="7">
          <cell r="B7" t="str">
            <v>Шорохо С.М</v>
          </cell>
          <cell r="H7">
            <v>7435.8899999999994</v>
          </cell>
        </row>
        <row r="8">
          <cell r="B8" t="str">
            <v>Галкин В.Ж.</v>
          </cell>
          <cell r="H8">
            <v>7904.82</v>
          </cell>
        </row>
        <row r="9">
          <cell r="B9" t="str">
            <v>Портнов М.Т.</v>
          </cell>
          <cell r="H9">
            <v>8373.75</v>
          </cell>
        </row>
        <row r="10">
          <cell r="B10" t="str">
            <v>Орлова Н.Н.</v>
          </cell>
          <cell r="H10">
            <v>8842.68</v>
          </cell>
        </row>
        <row r="11">
          <cell r="B11" t="str">
            <v>Степкина А.В.</v>
          </cell>
          <cell r="H11">
            <v>9311.61</v>
          </cell>
        </row>
        <row r="12">
          <cell r="B12" t="str">
            <v>Жарова Г.А.</v>
          </cell>
          <cell r="H12">
            <v>9780.5400000000009</v>
          </cell>
        </row>
        <row r="13">
          <cell r="B13" t="str">
            <v>Стольникова О.Д.</v>
          </cell>
          <cell r="H13">
            <v>10249.469999999999</v>
          </cell>
        </row>
        <row r="14">
          <cell r="B14" t="str">
            <v>Дрынкина С.С.</v>
          </cell>
          <cell r="H14">
            <v>10718.4</v>
          </cell>
        </row>
        <row r="15">
          <cell r="B15" t="str">
            <v>Шпаро Н.Г.</v>
          </cell>
          <cell r="H15">
            <v>11187.33</v>
          </cell>
        </row>
        <row r="16">
          <cell r="B16" t="str">
            <v>Шашкни Р.Н.</v>
          </cell>
          <cell r="H16">
            <v>11656.26</v>
          </cell>
        </row>
        <row r="17">
          <cell r="B17" t="str">
            <v>Стелков Р.Х.</v>
          </cell>
          <cell r="H17">
            <v>12125.19</v>
          </cell>
        </row>
      </sheetData>
      <sheetData sheetId="6"/>
      <sheetData sheetId="7">
        <row r="9">
          <cell r="B9" t="str">
            <v xml:space="preserve">Иванов </v>
          </cell>
          <cell r="G9">
            <v>11701.630499999999</v>
          </cell>
        </row>
        <row r="10">
          <cell r="B10" t="str">
            <v>Петров</v>
          </cell>
          <cell r="G10">
            <v>7762.4618999999993</v>
          </cell>
        </row>
        <row r="11">
          <cell r="B11" t="str">
            <v>Сидоров</v>
          </cell>
          <cell r="G11">
            <v>11701.630499999999</v>
          </cell>
        </row>
        <row r="12">
          <cell r="B12" t="str">
            <v>Колобков</v>
          </cell>
          <cell r="G12">
            <v>7762.4618999999993</v>
          </cell>
        </row>
        <row r="13">
          <cell r="B13" t="str">
            <v xml:space="preserve"> Петнегова</v>
          </cell>
          <cell r="G13">
            <v>7762.4618999999993</v>
          </cell>
        </row>
        <row r="14">
          <cell r="B14" t="str">
            <v>Алексеева</v>
          </cell>
          <cell r="G14">
            <v>7762.4618999999993</v>
          </cell>
        </row>
        <row r="15">
          <cell r="B15" t="str">
            <v xml:space="preserve"> Королев</v>
          </cell>
          <cell r="G15">
            <v>15883.329000000002</v>
          </cell>
        </row>
        <row r="16">
          <cell r="B16" t="str">
            <v>Бурин</v>
          </cell>
          <cell r="G16">
            <v>7762.4618999999993</v>
          </cell>
        </row>
        <row r="17">
          <cell r="B17" t="str">
            <v>Еремина</v>
          </cell>
          <cell r="G17">
            <v>7762.4618999999993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E27" sqref="E27"/>
    </sheetView>
  </sheetViews>
  <sheetFormatPr defaultRowHeight="15" outlineLevelRow="2" x14ac:dyDescent="0.25"/>
  <cols>
    <col min="1" max="1" width="17.85546875" bestFit="1" customWidth="1"/>
    <col min="2" max="2" width="17.42578125" bestFit="1" customWidth="1"/>
    <col min="3" max="3" width="20.85546875" bestFit="1" customWidth="1"/>
    <col min="4" max="5" width="16.7109375" customWidth="1"/>
    <col min="6" max="6" width="11.7109375" bestFit="1" customWidth="1"/>
    <col min="7" max="7" width="9.28515625" bestFit="1" customWidth="1"/>
  </cols>
  <sheetData>
    <row r="1" spans="1:7" ht="51" customHeight="1" x14ac:dyDescent="0.25">
      <c r="A1" s="23" t="s">
        <v>76</v>
      </c>
      <c r="B1" s="23"/>
      <c r="C1" s="23"/>
      <c r="D1" s="23"/>
      <c r="E1" s="23"/>
      <c r="F1" s="23"/>
      <c r="G1" s="23"/>
    </row>
    <row r="2" spans="1:7" x14ac:dyDescent="0.25">
      <c r="A2" s="23" t="s">
        <v>77</v>
      </c>
      <c r="B2" s="23"/>
      <c r="C2" s="23"/>
      <c r="D2" s="23"/>
      <c r="E2" s="23"/>
      <c r="F2" s="23"/>
      <c r="G2" s="23"/>
    </row>
    <row r="3" spans="1:7" x14ac:dyDescent="0.25">
      <c r="A3" s="7" t="s">
        <v>78</v>
      </c>
      <c r="B3" s="7" t="s">
        <v>79</v>
      </c>
      <c r="C3" s="7" t="s">
        <v>80</v>
      </c>
      <c r="D3" s="7" t="s">
        <v>81</v>
      </c>
      <c r="E3" s="7" t="s">
        <v>82</v>
      </c>
      <c r="F3" s="7" t="s">
        <v>83</v>
      </c>
    </row>
    <row r="4" spans="1:7" outlineLevel="1" x14ac:dyDescent="0.25">
      <c r="A4" s="7"/>
      <c r="B4" s="7"/>
      <c r="C4" s="7"/>
      <c r="D4" s="7"/>
      <c r="E4" s="24"/>
      <c r="F4" s="7"/>
    </row>
    <row r="5" spans="1:7" outlineLevel="2" x14ac:dyDescent="0.25">
      <c r="A5" s="7">
        <v>201</v>
      </c>
      <c r="B5" s="7" t="s">
        <v>84</v>
      </c>
      <c r="C5" s="25" t="s">
        <v>85</v>
      </c>
      <c r="D5" s="8">
        <f>'ЗП октябрь'!E6+'ЗП ноябрь'!F5+'ЗП декабрь'!F5</f>
        <v>13628.5</v>
      </c>
      <c r="E5" s="8">
        <f>'ЗП октябрь'!F6+'ЗП ноябрь'!G5+'ЗП декабрь'!G5</f>
        <v>1771.7049999999999</v>
      </c>
      <c r="F5" s="25">
        <f>'ЗП октябрь'!G6+'ЗП ноябрь'!H5+'ЗП декабрь'!H5</f>
        <v>16706.794999999998</v>
      </c>
    </row>
    <row r="6" spans="1:7" outlineLevel="2" x14ac:dyDescent="0.25">
      <c r="A6" s="7">
        <v>202</v>
      </c>
      <c r="B6" s="7" t="s">
        <v>86</v>
      </c>
      <c r="C6" s="25" t="s">
        <v>85</v>
      </c>
      <c r="D6" s="8">
        <f>'ЗП октябрь'!E7+'ЗП ноябрь'!F6+'ЗП декабрь'!F6</f>
        <v>14612</v>
      </c>
      <c r="E6" s="8">
        <f>'ЗП октябрь'!F7+'ЗП ноябрь'!G6+'ЗП декабрь'!G6</f>
        <v>1899.56</v>
      </c>
      <c r="F6" s="25">
        <f>'ЗП октябрь'!G7+'ЗП ноябрь'!H6+'ЗП декабрь'!H6</f>
        <v>17912.439999999999</v>
      </c>
    </row>
    <row r="7" spans="1:7" outlineLevel="2" x14ac:dyDescent="0.25">
      <c r="A7" s="7">
        <v>212</v>
      </c>
      <c r="B7" s="7" t="s">
        <v>87</v>
      </c>
      <c r="C7" s="25" t="s">
        <v>85</v>
      </c>
      <c r="D7" s="8">
        <f>'ЗП октябрь'!E8+'ЗП ноябрь'!F7+'ЗП декабрь'!F7</f>
        <v>15595.5</v>
      </c>
      <c r="E7" s="8">
        <f>'ЗП октябрь'!F8+'ЗП ноябрь'!G7+'ЗП декабрь'!G7</f>
        <v>2027.4150000000002</v>
      </c>
      <c r="F7" s="25">
        <f>'ЗП октябрь'!G8+'ЗП ноябрь'!H7+'ЗП декабрь'!H7</f>
        <v>19118.084999999999</v>
      </c>
    </row>
    <row r="8" spans="1:7" outlineLevel="1" x14ac:dyDescent="0.25">
      <c r="A8" s="7"/>
      <c r="B8" s="7"/>
      <c r="C8" s="26" t="s">
        <v>88</v>
      </c>
      <c r="D8" s="8">
        <f>'ЗП октябрь'!E9+'ЗП ноябрь'!F8+'ЗП декабрь'!F8</f>
        <v>16579</v>
      </c>
      <c r="E8" s="8">
        <f>'ЗП октябрь'!F9+'ЗП ноябрь'!G8+'ЗП декабрь'!G8</f>
        <v>2155.27</v>
      </c>
      <c r="F8" s="25">
        <f>'ЗП октябрь'!G9+'ЗП ноябрь'!H8+'ЗП декабрь'!H8</f>
        <v>20323.73</v>
      </c>
    </row>
    <row r="9" spans="1:7" outlineLevel="2" x14ac:dyDescent="0.25">
      <c r="A9" s="7">
        <v>204</v>
      </c>
      <c r="B9" s="7" t="s">
        <v>89</v>
      </c>
      <c r="C9" s="25" t="s">
        <v>90</v>
      </c>
      <c r="D9" s="8">
        <f>'ЗП октябрь'!E10+'ЗП ноябрь'!F9+'ЗП декабрь'!F9</f>
        <v>17562.5</v>
      </c>
      <c r="E9" s="8">
        <f>'ЗП октябрь'!F10+'ЗП ноябрь'!G9+'ЗП декабрь'!G9</f>
        <v>2283.125</v>
      </c>
      <c r="F9" s="25">
        <f>'ЗП октябрь'!G10+'ЗП ноябрь'!H9+'ЗП декабрь'!H9</f>
        <v>21529.375</v>
      </c>
    </row>
    <row r="10" spans="1:7" outlineLevel="2" x14ac:dyDescent="0.25">
      <c r="A10" s="7">
        <v>210</v>
      </c>
      <c r="B10" s="7" t="s">
        <v>91</v>
      </c>
      <c r="C10" s="25" t="s">
        <v>90</v>
      </c>
      <c r="D10" s="8">
        <f>'ЗП октябрь'!E11+'ЗП ноябрь'!F10+'ЗП декабрь'!F10</f>
        <v>18546</v>
      </c>
      <c r="E10" s="8">
        <f>'ЗП октябрь'!F11+'ЗП ноябрь'!G10+'ЗП декабрь'!G10</f>
        <v>2410.98</v>
      </c>
      <c r="F10" s="25">
        <f>'ЗП октябрь'!G11+'ЗП ноябрь'!H10+'ЗП декабрь'!H10</f>
        <v>22735.02</v>
      </c>
    </row>
    <row r="11" spans="1:7" outlineLevel="2" x14ac:dyDescent="0.25">
      <c r="A11" s="7">
        <v>205</v>
      </c>
      <c r="B11" s="7" t="s">
        <v>92</v>
      </c>
      <c r="C11" s="25" t="s">
        <v>90</v>
      </c>
      <c r="D11" s="8">
        <f>'ЗП октябрь'!E12+'ЗП ноябрь'!F11+'ЗП декабрь'!F11</f>
        <v>19529.5</v>
      </c>
      <c r="E11" s="8">
        <f>'ЗП октябрь'!F12+'ЗП ноябрь'!G11+'ЗП декабрь'!G11</f>
        <v>2538.835</v>
      </c>
      <c r="F11" s="25">
        <f>'ЗП октябрь'!G12+'ЗП ноябрь'!H11+'ЗП декабрь'!H11</f>
        <v>23940.665000000001</v>
      </c>
    </row>
    <row r="12" spans="1:7" outlineLevel="2" x14ac:dyDescent="0.25">
      <c r="A12" s="7">
        <v>213</v>
      </c>
      <c r="B12" s="7" t="s">
        <v>93</v>
      </c>
      <c r="C12" s="25" t="s">
        <v>90</v>
      </c>
      <c r="D12" s="8">
        <f>'ЗП октябрь'!E13+'ЗП ноябрь'!F12+'ЗП декабрь'!F12</f>
        <v>20513</v>
      </c>
      <c r="E12" s="8">
        <f>'ЗП октябрь'!F13+'ЗП ноябрь'!G12+'ЗП декабрь'!G12</f>
        <v>2666.69</v>
      </c>
      <c r="F12" s="25">
        <f>'ЗП октябрь'!G13+'ЗП ноябрь'!H12+'ЗП декабрь'!H12</f>
        <v>25146.31</v>
      </c>
    </row>
    <row r="13" spans="1:7" outlineLevel="2" x14ac:dyDescent="0.25">
      <c r="A13" s="7">
        <v>209</v>
      </c>
      <c r="B13" s="7" t="s">
        <v>94</v>
      </c>
      <c r="C13" s="25" t="s">
        <v>90</v>
      </c>
      <c r="D13" s="8">
        <f>'ЗП октябрь'!E14+'ЗП ноябрь'!F13+'ЗП декабрь'!F13</f>
        <v>21496.5</v>
      </c>
      <c r="E13" s="8">
        <f>'ЗП октябрь'!F14+'ЗП ноябрь'!G13+'ЗП декабрь'!G13</f>
        <v>2794.5450000000001</v>
      </c>
      <c r="F13" s="25">
        <f>'ЗП октябрь'!G14+'ЗП ноябрь'!H13+'ЗП декабрь'!H13</f>
        <v>26351.955000000002</v>
      </c>
    </row>
    <row r="14" spans="1:7" outlineLevel="1" x14ac:dyDescent="0.25">
      <c r="A14" s="7"/>
      <c r="B14" s="7"/>
      <c r="C14" s="26" t="s">
        <v>95</v>
      </c>
      <c r="D14" s="8">
        <f>'ЗП октябрь'!E15+'ЗП ноябрь'!F14+'ЗП декабрь'!F14</f>
        <v>22480</v>
      </c>
      <c r="E14" s="8">
        <f>'ЗП октябрь'!F15+'ЗП ноябрь'!G14+'ЗП декабрь'!G14</f>
        <v>2922.4</v>
      </c>
      <c r="F14" s="25">
        <f>'ЗП октябрь'!G15+'ЗП ноябрь'!H14+'ЗП декабрь'!H14</f>
        <v>27557.599999999999</v>
      </c>
    </row>
    <row r="15" spans="1:7" outlineLevel="2" x14ac:dyDescent="0.25">
      <c r="A15" s="7">
        <v>208</v>
      </c>
      <c r="B15" s="7" t="s">
        <v>96</v>
      </c>
      <c r="C15" s="25" t="s">
        <v>97</v>
      </c>
      <c r="D15" s="8">
        <f>'ЗП октябрь'!E16+'ЗП ноябрь'!F15+'ЗП декабрь'!F15</f>
        <v>23463.5</v>
      </c>
      <c r="E15" s="8">
        <f>'ЗП октябрь'!F16+'ЗП ноябрь'!G15+'ЗП декабрь'!G15</f>
        <v>3050.2550000000001</v>
      </c>
      <c r="F15" s="25">
        <f>'ЗП октябрь'!G16+'ЗП ноябрь'!H15+'ЗП декабрь'!H15</f>
        <v>28763.245000000003</v>
      </c>
    </row>
    <row r="16" spans="1:7" outlineLevel="2" x14ac:dyDescent="0.25">
      <c r="A16" s="7">
        <v>206</v>
      </c>
      <c r="B16" s="7" t="s">
        <v>98</v>
      </c>
      <c r="C16" s="25" t="s">
        <v>97</v>
      </c>
      <c r="D16" s="8">
        <f>'ЗП октябрь'!E17+'ЗП ноябрь'!F16+'ЗП декабрь'!F16</f>
        <v>24447</v>
      </c>
      <c r="E16" s="8">
        <f>'ЗП октябрь'!F17+'ЗП ноябрь'!G16+'ЗП декабрь'!G16</f>
        <v>3178.11</v>
      </c>
      <c r="F16" s="25">
        <f>'ЗП октябрь'!G17+'ЗП ноябрь'!H16+'ЗП декабрь'!H16</f>
        <v>29968.89</v>
      </c>
    </row>
    <row r="17" spans="1:6" outlineLevel="2" x14ac:dyDescent="0.25">
      <c r="A17" s="7">
        <v>200</v>
      </c>
      <c r="B17" s="7" t="s">
        <v>99</v>
      </c>
      <c r="C17" s="25" t="s">
        <v>97</v>
      </c>
      <c r="D17" s="8">
        <f>'ЗП октябрь'!E18+'ЗП ноябрь'!F17+'ЗП декабрь'!F17</f>
        <v>25430.5</v>
      </c>
      <c r="E17" s="8">
        <f>'ЗП октябрь'!F18+'ЗП ноябрь'!G17+'ЗП декабрь'!G17</f>
        <v>3305.9650000000001</v>
      </c>
      <c r="F17" s="25">
        <f>'ЗП октябрь'!G18+'ЗП ноябрь'!H17+'ЗП декабрь'!H17</f>
        <v>31174.535000000003</v>
      </c>
    </row>
    <row r="18" spans="1:6" outlineLevel="2" x14ac:dyDescent="0.25">
      <c r="A18" s="7">
        <v>207</v>
      </c>
      <c r="B18" s="7" t="s">
        <v>100</v>
      </c>
      <c r="C18" s="25" t="s">
        <v>97</v>
      </c>
      <c r="D18" s="8">
        <f>'ЗП октябрь'!E19+'ЗП ноябрь'!F18+'ЗП декабрь'!F18</f>
        <v>0.32</v>
      </c>
      <c r="E18" s="8">
        <f>'ЗП октябрь'!F19+'ЗП ноябрь'!G18+'ЗП декабрь'!G18</f>
        <v>0.18</v>
      </c>
      <c r="F18" s="25">
        <f>'ЗП октябрь'!G19+'ЗП ноябрь'!H18+'ЗП декабрь'!H18</f>
        <v>0</v>
      </c>
    </row>
    <row r="19" spans="1:6" outlineLevel="2" x14ac:dyDescent="0.25">
      <c r="A19" s="7">
        <v>203</v>
      </c>
      <c r="B19" s="7" t="s">
        <v>101</v>
      </c>
      <c r="C19" s="25" t="s">
        <v>97</v>
      </c>
      <c r="D19" s="8">
        <f>'ЗП октябрь'!E20+'ЗП ноябрь'!F19+'ЗП декабрь'!F19</f>
        <v>146069</v>
      </c>
      <c r="E19" s="8">
        <f>'ЗП октябрь'!F20+'ЗП ноябрь'!G19+'ЗП декабрь'!G19</f>
        <v>18988.97</v>
      </c>
      <c r="F19" s="25">
        <f>'ЗП октябрь'!G20+'ЗП ноябрь'!H19+'ЗП декабрь'!H19</f>
        <v>127080.03</v>
      </c>
    </row>
    <row r="20" spans="1:6" outlineLevel="2" x14ac:dyDescent="0.25">
      <c r="A20" s="7">
        <v>211</v>
      </c>
      <c r="B20" s="7" t="s">
        <v>102</v>
      </c>
      <c r="C20" s="25" t="s">
        <v>97</v>
      </c>
      <c r="D20" s="8">
        <f>'ЗП октябрь'!E21+'ЗП ноябрь'!F20+'ЗП декабрь'!F20</f>
        <v>0</v>
      </c>
      <c r="E20" s="8">
        <f>'ЗП октябрь'!F21+'ЗП ноябрь'!G20+'ЗП декабрь'!G20</f>
        <v>0</v>
      </c>
      <c r="F20" s="25">
        <f>'ЗП октябрь'!G21+'ЗП ноябрь'!H20+'ЗП декабрь'!H20</f>
        <v>0</v>
      </c>
    </row>
    <row r="21" spans="1:6" outlineLevel="1" x14ac:dyDescent="0.25">
      <c r="A21" s="7"/>
      <c r="B21" s="7"/>
      <c r="C21" s="26" t="s">
        <v>103</v>
      </c>
      <c r="D21" s="8">
        <f>'ЗП октябрь'!E22+'ЗП ноябрь'!F21+'ЗП декабрь'!F21</f>
        <v>0</v>
      </c>
      <c r="E21" s="8">
        <f>'ЗП октябрь'!F22+'ЗП ноябрь'!G21+'ЗП декабрь'!G21</f>
        <v>0</v>
      </c>
      <c r="F21" s="25">
        <f>'ЗП октябрь'!G22+'ЗП ноябрь'!H21+'ЗП декабрь'!H21</f>
        <v>0</v>
      </c>
    </row>
    <row r="22" spans="1:6" x14ac:dyDescent="0.25">
      <c r="A22" s="7"/>
      <c r="B22" s="7"/>
      <c r="C22" s="26" t="s">
        <v>104</v>
      </c>
      <c r="D22" s="8">
        <f>'ЗП октябрь'!E23+'ЗП ноябрь'!F22+'ЗП декабрь'!F22</f>
        <v>0</v>
      </c>
      <c r="E22" s="8">
        <f>'ЗП октябрь'!F23+'ЗП ноябрь'!G22+'ЗП декабрь'!G22</f>
        <v>0</v>
      </c>
      <c r="F22" s="25">
        <f>'ЗП октябрь'!G23+'ЗП ноябрь'!H22+'ЗП декабрь'!H22</f>
        <v>0</v>
      </c>
    </row>
    <row r="23" spans="1:6" x14ac:dyDescent="0.25">
      <c r="A23" s="7"/>
      <c r="B23" s="7" t="s">
        <v>105</v>
      </c>
      <c r="C23" s="7"/>
      <c r="D23" s="7"/>
      <c r="E23" s="7"/>
      <c r="F23" s="7"/>
    </row>
    <row r="24" spans="1:6" x14ac:dyDescent="0.25">
      <c r="A24" s="23" t="s">
        <v>106</v>
      </c>
      <c r="B24" s="23"/>
      <c r="C24" s="27">
        <f>MIN(C5:C20)</f>
        <v>0</v>
      </c>
    </row>
    <row r="25" spans="1:6" x14ac:dyDescent="0.25">
      <c r="A25" s="23" t="s">
        <v>107</v>
      </c>
      <c r="B25" s="23"/>
      <c r="C25" s="27">
        <f>MAX(C5:C20)</f>
        <v>0</v>
      </c>
    </row>
    <row r="26" spans="1:6" x14ac:dyDescent="0.25">
      <c r="A26" s="23" t="s">
        <v>108</v>
      </c>
      <c r="B26" s="23"/>
      <c r="C26" s="27" t="e">
        <f>AVERAGE(C5:C20)</f>
        <v>#DIV/0!</v>
      </c>
    </row>
  </sheetData>
  <mergeCells count="5">
    <mergeCell ref="A1:G1"/>
    <mergeCell ref="A2:G2"/>
    <mergeCell ref="A24:B24"/>
    <mergeCell ref="A25:B25"/>
    <mergeCell ref="A26:B26"/>
  </mergeCells>
  <conditionalFormatting sqref="F5:F22">
    <cfRule type="cellIs" dxfId="24" priority="1" operator="greaterThan">
      <formula>10000</formula>
    </cfRule>
    <cfRule type="cellIs" dxfId="23" priority="2" operator="between">
      <formula>7000</formula>
      <formula>10000</formula>
    </cfRule>
    <cfRule type="cellIs" dxfId="22" priority="3" operator="between">
      <formula>5000</formula>
      <formula>7000</formula>
    </cfRule>
    <cfRule type="cellIs" dxfId="21" priority="4" operator="lessThan">
      <formula>7000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C2D3-F293-4E56-8D15-7892BD0390B3}">
  <dimension ref="A1:H22"/>
  <sheetViews>
    <sheetView workbookViewId="0">
      <selection activeCell="E13" sqref="E13"/>
    </sheetView>
  </sheetViews>
  <sheetFormatPr defaultRowHeight="15" x14ac:dyDescent="0.25"/>
  <cols>
    <col min="1" max="1" width="17.85546875" bestFit="1" customWidth="1"/>
    <col min="2" max="2" width="17.42578125" bestFit="1" customWidth="1"/>
    <col min="3" max="3" width="9" bestFit="1" customWidth="1"/>
    <col min="4" max="4" width="8.7109375" bestFit="1" customWidth="1"/>
    <col min="5" max="5" width="9.28515625" bestFit="1" customWidth="1"/>
    <col min="6" max="6" width="16.85546875" bestFit="1" customWidth="1"/>
    <col min="7" max="7" width="11.85546875" bestFit="1" customWidth="1"/>
    <col min="8" max="8" width="9.42578125" bestFit="1" customWidth="1"/>
  </cols>
  <sheetData>
    <row r="1" spans="1:8" x14ac:dyDescent="0.25">
      <c r="A1" s="23" t="s">
        <v>76</v>
      </c>
      <c r="B1" s="23"/>
      <c r="C1" s="23"/>
      <c r="D1" s="23"/>
      <c r="E1" s="23"/>
      <c r="F1" s="23"/>
      <c r="G1" s="23"/>
      <c r="H1" s="23"/>
    </row>
    <row r="2" spans="1:8" x14ac:dyDescent="0.25">
      <c r="A2" s="23" t="s">
        <v>141</v>
      </c>
      <c r="B2" s="23"/>
      <c r="C2" s="23"/>
      <c r="D2" s="23"/>
      <c r="E2" s="23"/>
      <c r="F2" s="23"/>
      <c r="G2" s="23"/>
      <c r="H2" s="23"/>
    </row>
    <row r="3" spans="1:8" x14ac:dyDescent="0.25">
      <c r="A3" s="7" t="s">
        <v>78</v>
      </c>
      <c r="B3" s="7" t="s">
        <v>79</v>
      </c>
      <c r="C3" s="7" t="s">
        <v>16</v>
      </c>
      <c r="D3" s="7" t="s">
        <v>138</v>
      </c>
      <c r="E3" s="7" t="s">
        <v>140</v>
      </c>
      <c r="F3" s="7" t="s">
        <v>81</v>
      </c>
      <c r="G3" s="7" t="s">
        <v>82</v>
      </c>
      <c r="H3" s="7" t="s">
        <v>83</v>
      </c>
    </row>
    <row r="4" spans="1:8" x14ac:dyDescent="0.25">
      <c r="A4" s="7">
        <v>200</v>
      </c>
      <c r="B4" s="7" t="s">
        <v>99</v>
      </c>
      <c r="C4" s="8">
        <v>4500</v>
      </c>
      <c r="D4" s="8">
        <f t="shared" ref="D4:D17" si="0">$D$18*C4</f>
        <v>2070</v>
      </c>
      <c r="E4" s="8">
        <f t="shared" ref="E4:E17" si="1">$E$18*C4</f>
        <v>360</v>
      </c>
      <c r="F4" s="8">
        <f t="shared" ref="F4:F17" si="2">C4+D4+E4</f>
        <v>6930</v>
      </c>
      <c r="G4" s="8">
        <f t="shared" ref="G4:G17" si="3" xml:space="preserve"> $G$18*F4</f>
        <v>900.9</v>
      </c>
      <c r="H4" s="8">
        <f t="shared" ref="H4:H17" si="4">F4-G4</f>
        <v>6029.1</v>
      </c>
    </row>
    <row r="5" spans="1:8" x14ac:dyDescent="0.25">
      <c r="A5" s="7">
        <v>201</v>
      </c>
      <c r="B5" s="7" t="s">
        <v>84</v>
      </c>
      <c r="C5" s="8">
        <v>4850</v>
      </c>
      <c r="D5" s="8">
        <f t="shared" si="0"/>
        <v>2231</v>
      </c>
      <c r="E5" s="8">
        <f t="shared" si="1"/>
        <v>388</v>
      </c>
      <c r="F5" s="8">
        <f t="shared" si="2"/>
        <v>7469</v>
      </c>
      <c r="G5" s="8">
        <f t="shared" si="3"/>
        <v>970.97</v>
      </c>
      <c r="H5" s="8">
        <f t="shared" si="4"/>
        <v>6498.03</v>
      </c>
    </row>
    <row r="6" spans="1:8" x14ac:dyDescent="0.25">
      <c r="A6" s="7">
        <v>202</v>
      </c>
      <c r="B6" s="7" t="s">
        <v>86</v>
      </c>
      <c r="C6" s="8">
        <v>5200</v>
      </c>
      <c r="D6" s="8">
        <f t="shared" si="0"/>
        <v>2392</v>
      </c>
      <c r="E6" s="8">
        <f t="shared" si="1"/>
        <v>416</v>
      </c>
      <c r="F6" s="8">
        <f t="shared" si="2"/>
        <v>8008</v>
      </c>
      <c r="G6" s="8">
        <f t="shared" si="3"/>
        <v>1041.04</v>
      </c>
      <c r="H6" s="8">
        <f t="shared" si="4"/>
        <v>6966.96</v>
      </c>
    </row>
    <row r="7" spans="1:8" x14ac:dyDescent="0.25">
      <c r="A7" s="7">
        <v>203</v>
      </c>
      <c r="B7" s="7" t="s">
        <v>101</v>
      </c>
      <c r="C7" s="8">
        <v>5550</v>
      </c>
      <c r="D7" s="8">
        <f t="shared" si="0"/>
        <v>2553</v>
      </c>
      <c r="E7" s="8">
        <f t="shared" si="1"/>
        <v>444</v>
      </c>
      <c r="F7" s="8">
        <f t="shared" si="2"/>
        <v>8547</v>
      </c>
      <c r="G7" s="8">
        <f t="shared" si="3"/>
        <v>1111.1100000000001</v>
      </c>
      <c r="H7" s="8">
        <f t="shared" si="4"/>
        <v>7435.8899999999994</v>
      </c>
    </row>
    <row r="8" spans="1:8" x14ac:dyDescent="0.25">
      <c r="A8" s="7">
        <v>204</v>
      </c>
      <c r="B8" s="7" t="s">
        <v>89</v>
      </c>
      <c r="C8" s="8">
        <v>5900</v>
      </c>
      <c r="D8" s="8">
        <f t="shared" si="0"/>
        <v>2714</v>
      </c>
      <c r="E8" s="8">
        <f t="shared" si="1"/>
        <v>472</v>
      </c>
      <c r="F8" s="8">
        <f t="shared" si="2"/>
        <v>9086</v>
      </c>
      <c r="G8" s="8">
        <f t="shared" si="3"/>
        <v>1181.18</v>
      </c>
      <c r="H8" s="8">
        <f t="shared" si="4"/>
        <v>7904.82</v>
      </c>
    </row>
    <row r="9" spans="1:8" x14ac:dyDescent="0.25">
      <c r="A9" s="7">
        <v>205</v>
      </c>
      <c r="B9" s="7" t="s">
        <v>92</v>
      </c>
      <c r="C9" s="8">
        <v>6250</v>
      </c>
      <c r="D9" s="8">
        <f t="shared" si="0"/>
        <v>2875</v>
      </c>
      <c r="E9" s="8">
        <f t="shared" si="1"/>
        <v>500</v>
      </c>
      <c r="F9" s="8">
        <f t="shared" si="2"/>
        <v>9625</v>
      </c>
      <c r="G9" s="8">
        <f t="shared" si="3"/>
        <v>1251.25</v>
      </c>
      <c r="H9" s="8">
        <f t="shared" si="4"/>
        <v>8373.75</v>
      </c>
    </row>
    <row r="10" spans="1:8" x14ac:dyDescent="0.25">
      <c r="A10" s="7">
        <v>206</v>
      </c>
      <c r="B10" s="7" t="s">
        <v>98</v>
      </c>
      <c r="C10" s="8">
        <v>6600</v>
      </c>
      <c r="D10" s="8">
        <f t="shared" si="0"/>
        <v>3036</v>
      </c>
      <c r="E10" s="8">
        <f t="shared" si="1"/>
        <v>528</v>
      </c>
      <c r="F10" s="8">
        <f t="shared" si="2"/>
        <v>10164</v>
      </c>
      <c r="G10" s="8">
        <f t="shared" si="3"/>
        <v>1321.32</v>
      </c>
      <c r="H10" s="8">
        <f t="shared" si="4"/>
        <v>8842.68</v>
      </c>
    </row>
    <row r="11" spans="1:8" x14ac:dyDescent="0.25">
      <c r="A11" s="7">
        <v>207</v>
      </c>
      <c r="B11" s="7" t="s">
        <v>100</v>
      </c>
      <c r="C11" s="8">
        <v>6950</v>
      </c>
      <c r="D11" s="8">
        <f t="shared" si="0"/>
        <v>3197</v>
      </c>
      <c r="E11" s="8">
        <f t="shared" si="1"/>
        <v>556</v>
      </c>
      <c r="F11" s="8">
        <f t="shared" si="2"/>
        <v>10703</v>
      </c>
      <c r="G11" s="8">
        <f t="shared" si="3"/>
        <v>1391.39</v>
      </c>
      <c r="H11" s="8">
        <f t="shared" si="4"/>
        <v>9311.61</v>
      </c>
    </row>
    <row r="12" spans="1:8" x14ac:dyDescent="0.25">
      <c r="A12" s="7">
        <v>208</v>
      </c>
      <c r="B12" s="7" t="s">
        <v>96</v>
      </c>
      <c r="C12" s="8">
        <v>7300</v>
      </c>
      <c r="D12" s="8">
        <f t="shared" si="0"/>
        <v>3358</v>
      </c>
      <c r="E12" s="8">
        <f t="shared" si="1"/>
        <v>584</v>
      </c>
      <c r="F12" s="8">
        <f t="shared" si="2"/>
        <v>11242</v>
      </c>
      <c r="G12" s="8">
        <f t="shared" si="3"/>
        <v>1461.46</v>
      </c>
      <c r="H12" s="8">
        <f t="shared" si="4"/>
        <v>9780.5400000000009</v>
      </c>
    </row>
    <row r="13" spans="1:8" x14ac:dyDescent="0.25">
      <c r="A13" s="7">
        <v>209</v>
      </c>
      <c r="B13" s="7" t="s">
        <v>94</v>
      </c>
      <c r="C13" s="8">
        <v>7650</v>
      </c>
      <c r="D13" s="8">
        <f t="shared" si="0"/>
        <v>3519</v>
      </c>
      <c r="E13" s="8">
        <f t="shared" si="1"/>
        <v>612</v>
      </c>
      <c r="F13" s="8">
        <f t="shared" si="2"/>
        <v>11781</v>
      </c>
      <c r="G13" s="8">
        <f t="shared" si="3"/>
        <v>1531.53</v>
      </c>
      <c r="H13" s="8">
        <f t="shared" si="4"/>
        <v>10249.469999999999</v>
      </c>
    </row>
    <row r="14" spans="1:8" x14ac:dyDescent="0.25">
      <c r="A14" s="7">
        <v>210</v>
      </c>
      <c r="B14" s="7" t="s">
        <v>91</v>
      </c>
      <c r="C14" s="8">
        <v>8000</v>
      </c>
      <c r="D14" s="8">
        <f t="shared" si="0"/>
        <v>3680</v>
      </c>
      <c r="E14" s="8">
        <f t="shared" si="1"/>
        <v>640</v>
      </c>
      <c r="F14" s="8">
        <f t="shared" si="2"/>
        <v>12320</v>
      </c>
      <c r="G14" s="8">
        <f t="shared" si="3"/>
        <v>1601.6000000000001</v>
      </c>
      <c r="H14" s="8">
        <f t="shared" si="4"/>
        <v>10718.4</v>
      </c>
    </row>
    <row r="15" spans="1:8" x14ac:dyDescent="0.25">
      <c r="A15" s="7">
        <v>211</v>
      </c>
      <c r="B15" s="7" t="s">
        <v>102</v>
      </c>
      <c r="C15" s="8">
        <v>8350</v>
      </c>
      <c r="D15" s="8">
        <f t="shared" si="0"/>
        <v>3841</v>
      </c>
      <c r="E15" s="8">
        <f t="shared" si="1"/>
        <v>668</v>
      </c>
      <c r="F15" s="8">
        <f t="shared" si="2"/>
        <v>12859</v>
      </c>
      <c r="G15" s="8">
        <f t="shared" si="3"/>
        <v>1671.67</v>
      </c>
      <c r="H15" s="8">
        <f t="shared" si="4"/>
        <v>11187.33</v>
      </c>
    </row>
    <row r="16" spans="1:8" x14ac:dyDescent="0.25">
      <c r="A16" s="7">
        <v>212</v>
      </c>
      <c r="B16" s="7" t="s">
        <v>87</v>
      </c>
      <c r="C16" s="8">
        <v>8700</v>
      </c>
      <c r="D16" s="8">
        <f t="shared" si="0"/>
        <v>4002</v>
      </c>
      <c r="E16" s="8">
        <f t="shared" si="1"/>
        <v>696</v>
      </c>
      <c r="F16" s="8">
        <f t="shared" si="2"/>
        <v>13398</v>
      </c>
      <c r="G16" s="8">
        <f t="shared" si="3"/>
        <v>1741.74</v>
      </c>
      <c r="H16" s="8">
        <f t="shared" si="4"/>
        <v>11656.26</v>
      </c>
    </row>
    <row r="17" spans="1:8" x14ac:dyDescent="0.25">
      <c r="A17" s="7">
        <v>213</v>
      </c>
      <c r="B17" s="7" t="s">
        <v>93</v>
      </c>
      <c r="C17" s="8">
        <v>9050</v>
      </c>
      <c r="D17" s="8">
        <f t="shared" si="0"/>
        <v>4163</v>
      </c>
      <c r="E17" s="8">
        <f t="shared" si="1"/>
        <v>724</v>
      </c>
      <c r="F17" s="8">
        <f t="shared" si="2"/>
        <v>13937</v>
      </c>
      <c r="G17" s="8">
        <f t="shared" si="3"/>
        <v>1811.8100000000002</v>
      </c>
      <c r="H17" s="8">
        <f t="shared" si="4"/>
        <v>12125.19</v>
      </c>
    </row>
    <row r="18" spans="1:8" x14ac:dyDescent="0.25">
      <c r="A18" s="7"/>
      <c r="B18" s="7"/>
      <c r="C18" s="7"/>
      <c r="D18" s="24">
        <v>0.46</v>
      </c>
      <c r="E18" s="24">
        <v>0.08</v>
      </c>
      <c r="F18" s="7"/>
      <c r="G18" s="24">
        <v>0.13</v>
      </c>
      <c r="H18" s="7"/>
    </row>
    <row r="19" spans="1:8" x14ac:dyDescent="0.25">
      <c r="A19" s="7"/>
      <c r="B19" s="7" t="s">
        <v>105</v>
      </c>
      <c r="C19" s="8">
        <f>SUM(C4:C17)</f>
        <v>94850</v>
      </c>
      <c r="D19" s="8">
        <f t="shared" ref="D19:H19" si="5">SUM(D4:D17)</f>
        <v>43631</v>
      </c>
      <c r="E19" s="8">
        <f t="shared" si="5"/>
        <v>7588</v>
      </c>
      <c r="F19" s="8">
        <f t="shared" si="5"/>
        <v>146069</v>
      </c>
      <c r="G19" s="8">
        <f t="shared" si="5"/>
        <v>18988.97</v>
      </c>
      <c r="H19" s="8">
        <f t="shared" si="5"/>
        <v>127080.03</v>
      </c>
    </row>
    <row r="20" spans="1:8" x14ac:dyDescent="0.25">
      <c r="A20" s="23" t="s">
        <v>106</v>
      </c>
      <c r="B20" s="23"/>
      <c r="C20" s="52">
        <f>MIN(H4:H17)</f>
        <v>6029.1</v>
      </c>
    </row>
    <row r="21" spans="1:8" x14ac:dyDescent="0.25">
      <c r="A21" s="23" t="s">
        <v>107</v>
      </c>
      <c r="B21" s="23"/>
      <c r="C21" s="52">
        <f>MAX(H4:H17)</f>
        <v>12125.19</v>
      </c>
    </row>
    <row r="22" spans="1:8" x14ac:dyDescent="0.25">
      <c r="A22" s="23" t="s">
        <v>108</v>
      </c>
      <c r="B22" s="23"/>
      <c r="C22" s="52">
        <f>AVERAGE(H4:H17)</f>
        <v>9077.1450000000004</v>
      </c>
    </row>
  </sheetData>
  <mergeCells count="5">
    <mergeCell ref="A1:H1"/>
    <mergeCell ref="A2:H2"/>
    <mergeCell ref="A20:B20"/>
    <mergeCell ref="A21:B21"/>
    <mergeCell ref="A22:B22"/>
  </mergeCells>
  <conditionalFormatting sqref="C4:D17">
    <cfRule type="cellIs" dxfId="7" priority="1" operator="greaterThan">
      <formula>10000</formula>
    </cfRule>
    <cfRule type="cellIs" dxfId="6" priority="2" operator="between">
      <formula>8000</formula>
      <formula>10000</formula>
    </cfRule>
    <cfRule type="cellIs" dxfId="5" priority="3" operator="between">
      <formula>6000</formula>
      <formula>8000</formula>
    </cfRule>
    <cfRule type="cellIs" dxfId="4" priority="4" operator="between">
      <formula>5000</formula>
      <formula>6000</formula>
    </cfRule>
    <cfRule type="cellIs" dxfId="3" priority="5" operator="between">
      <formula>5000</formula>
      <formula>6000</formula>
    </cfRule>
    <cfRule type="cellIs" dxfId="2" priority="6" operator="between">
      <formula>5000</formula>
      <formula>6000</formula>
    </cfRule>
    <cfRule type="cellIs" dxfId="1" priority="7" operator="between">
      <formula>2000</formula>
      <formula>5000</formula>
    </cfRule>
    <cfRule type="cellIs" dxfId="0" priority="8" operator="lessThan">
      <formula>2000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88590-7D0B-4A42-9DA8-4E05AC4EC751}">
  <dimension ref="A1:E10"/>
  <sheetViews>
    <sheetView workbookViewId="0">
      <selection activeCell="E8" sqref="E8"/>
    </sheetView>
  </sheetViews>
  <sheetFormatPr defaultRowHeight="15" x14ac:dyDescent="0.25"/>
  <cols>
    <col min="1" max="1" width="16.140625" customWidth="1"/>
    <col min="2" max="2" width="12.85546875" customWidth="1"/>
    <col min="3" max="3" width="16.85546875" customWidth="1"/>
    <col min="4" max="4" width="15.7109375" customWidth="1"/>
    <col min="5" max="5" width="11" customWidth="1"/>
    <col min="6" max="6" width="11.28515625" customWidth="1"/>
  </cols>
  <sheetData>
    <row r="1" spans="1:5" ht="15.75" thickBot="1" x14ac:dyDescent="0.3">
      <c r="A1" s="53" t="s">
        <v>142</v>
      </c>
      <c r="B1" s="54"/>
      <c r="C1" s="54"/>
      <c r="D1" s="54"/>
      <c r="E1" s="55"/>
    </row>
    <row r="2" spans="1:5" ht="32.25" thickBot="1" x14ac:dyDescent="0.3">
      <c r="A2" s="29" t="s">
        <v>79</v>
      </c>
      <c r="B2" s="32" t="s">
        <v>116</v>
      </c>
      <c r="C2" s="56" t="s">
        <v>143</v>
      </c>
      <c r="D2" s="56" t="s">
        <v>144</v>
      </c>
      <c r="E2" s="56" t="s">
        <v>145</v>
      </c>
    </row>
    <row r="3" spans="1:5" ht="15.75" thickBot="1" x14ac:dyDescent="0.3">
      <c r="A3" s="45">
        <v>1</v>
      </c>
      <c r="B3" s="48">
        <v>2</v>
      </c>
      <c r="C3" s="57">
        <v>3</v>
      </c>
      <c r="D3" s="58">
        <v>4</v>
      </c>
      <c r="E3" s="57">
        <v>5</v>
      </c>
    </row>
    <row r="4" spans="1:5" x14ac:dyDescent="0.25">
      <c r="A4" s="37" t="s">
        <v>117</v>
      </c>
      <c r="B4" s="59">
        <v>16242.2</v>
      </c>
      <c r="C4" s="60" t="str">
        <f>IF(B4&lt;20000,"Да","Нет")</f>
        <v>Да</v>
      </c>
      <c r="D4" s="60">
        <f>IF(B4&lt;20000,B4*0.2,0)</f>
        <v>3248.4400000000005</v>
      </c>
      <c r="E4" s="61">
        <f>D4+B4</f>
        <v>19490.64</v>
      </c>
    </row>
    <row r="5" spans="1:5" x14ac:dyDescent="0.25">
      <c r="A5" s="40" t="s">
        <v>118</v>
      </c>
      <c r="B5" s="62">
        <v>17643.599999999999</v>
      </c>
      <c r="C5" s="63" t="str">
        <f t="shared" ref="C5:C10" si="0">IF(B5&lt;20000,"Да","Нет")</f>
        <v>Да</v>
      </c>
      <c r="D5" s="63">
        <f t="shared" ref="D5:D10" si="1">IF(B5&lt;20000,B5*0.2,0)</f>
        <v>3528.72</v>
      </c>
      <c r="E5" s="64">
        <f t="shared" ref="E5:E10" si="2">D5+B5</f>
        <v>21172.32</v>
      </c>
    </row>
    <row r="6" spans="1:5" x14ac:dyDescent="0.25">
      <c r="A6" s="40" t="s">
        <v>119</v>
      </c>
      <c r="B6" s="62">
        <v>20410</v>
      </c>
      <c r="C6" s="63" t="str">
        <f t="shared" si="0"/>
        <v>Нет</v>
      </c>
      <c r="D6" s="63">
        <f t="shared" si="1"/>
        <v>0</v>
      </c>
      <c r="E6" s="64">
        <f t="shared" si="2"/>
        <v>20410</v>
      </c>
    </row>
    <row r="7" spans="1:5" x14ac:dyDescent="0.25">
      <c r="A7" s="40" t="s">
        <v>120</v>
      </c>
      <c r="B7" s="62">
        <v>13911.3</v>
      </c>
      <c r="C7" s="63" t="str">
        <f t="shared" si="0"/>
        <v>Да</v>
      </c>
      <c r="D7" s="63">
        <f t="shared" si="1"/>
        <v>2782.26</v>
      </c>
      <c r="E7" s="64">
        <f t="shared" si="2"/>
        <v>16693.559999999998</v>
      </c>
    </row>
    <row r="8" spans="1:5" x14ac:dyDescent="0.25">
      <c r="A8" s="40" t="s">
        <v>121</v>
      </c>
      <c r="B8" s="62">
        <v>26578.5</v>
      </c>
      <c r="C8" s="63" t="str">
        <f t="shared" si="0"/>
        <v>Нет</v>
      </c>
      <c r="D8" s="63">
        <f t="shared" si="1"/>
        <v>0</v>
      </c>
      <c r="E8" s="64">
        <f t="shared" si="2"/>
        <v>26578.5</v>
      </c>
    </row>
    <row r="9" spans="1:5" x14ac:dyDescent="0.25">
      <c r="A9" s="40" t="s">
        <v>122</v>
      </c>
      <c r="B9" s="62">
        <v>22531.599999999999</v>
      </c>
      <c r="C9" s="63" t="str">
        <f t="shared" si="0"/>
        <v>Нет</v>
      </c>
      <c r="D9" s="63">
        <f t="shared" si="1"/>
        <v>0</v>
      </c>
      <c r="E9" s="64">
        <f t="shared" si="2"/>
        <v>22531.599999999999</v>
      </c>
    </row>
    <row r="10" spans="1:5" ht="15.75" thickBot="1" x14ac:dyDescent="0.3">
      <c r="A10" s="65" t="s">
        <v>123</v>
      </c>
      <c r="B10" s="66">
        <v>18661.5</v>
      </c>
      <c r="C10" s="67" t="str">
        <f t="shared" si="0"/>
        <v>Да</v>
      </c>
      <c r="D10" s="67">
        <f t="shared" si="1"/>
        <v>3732.3</v>
      </c>
      <c r="E10" s="68">
        <f t="shared" si="2"/>
        <v>22393.8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4D81-23BF-46D8-B709-86DB5B9C5104}">
  <dimension ref="A1:G20"/>
  <sheetViews>
    <sheetView workbookViewId="0">
      <selection activeCell="D10" sqref="D10"/>
    </sheetView>
  </sheetViews>
  <sheetFormatPr defaultRowHeight="15" x14ac:dyDescent="0.25"/>
  <cols>
    <col min="1" max="1" width="17.85546875" customWidth="1"/>
    <col min="2" max="2" width="19.42578125" customWidth="1"/>
    <col min="4" max="4" width="11.7109375" customWidth="1"/>
  </cols>
  <sheetData>
    <row r="1" spans="1:7" ht="45" x14ac:dyDescent="0.25">
      <c r="A1" s="3" t="s">
        <v>109</v>
      </c>
      <c r="B1" s="3" t="s">
        <v>110</v>
      </c>
    </row>
    <row r="2" spans="1:7" x14ac:dyDescent="0.25">
      <c r="A2" s="28">
        <v>0.3</v>
      </c>
      <c r="B2" s="28">
        <v>0.13</v>
      </c>
    </row>
    <row r="3" spans="1:7" ht="15.75" thickBot="1" x14ac:dyDescent="0.3">
      <c r="A3" s="23" t="s">
        <v>111</v>
      </c>
      <c r="B3" s="23"/>
      <c r="C3" s="23"/>
      <c r="D3" s="23"/>
      <c r="E3" s="23"/>
      <c r="F3" s="23"/>
      <c r="G3" s="23"/>
    </row>
    <row r="4" spans="1:7" ht="45.75" thickBot="1" x14ac:dyDescent="0.3">
      <c r="A4" s="29" t="s">
        <v>79</v>
      </c>
      <c r="B4" s="30" t="s">
        <v>16</v>
      </c>
      <c r="C4" s="31" t="s">
        <v>112</v>
      </c>
      <c r="D4" s="31" t="s">
        <v>113</v>
      </c>
      <c r="E4" s="31" t="s">
        <v>114</v>
      </c>
      <c r="F4" s="31" t="s">
        <v>115</v>
      </c>
      <c r="G4" s="32" t="s">
        <v>116</v>
      </c>
    </row>
    <row r="5" spans="1:7" ht="15.75" thickBot="1" x14ac:dyDescent="0.3">
      <c r="A5" s="33">
        <v>1</v>
      </c>
      <c r="B5" s="34">
        <v>2</v>
      </c>
      <c r="C5" s="35">
        <v>3</v>
      </c>
      <c r="D5" s="35">
        <v>4</v>
      </c>
      <c r="E5" s="35">
        <v>5</v>
      </c>
      <c r="F5" s="35">
        <v>6</v>
      </c>
      <c r="G5" s="36">
        <v>7</v>
      </c>
    </row>
    <row r="6" spans="1:7" x14ac:dyDescent="0.25">
      <c r="A6" s="37" t="s">
        <v>117</v>
      </c>
      <c r="B6" s="38">
        <v>14200</v>
      </c>
      <c r="C6" s="39">
        <v>1400</v>
      </c>
      <c r="D6" s="39">
        <f>B6*$A$2</f>
        <v>4260</v>
      </c>
      <c r="E6" s="39">
        <f>D6+B6</f>
        <v>18460</v>
      </c>
      <c r="F6" s="39">
        <f>(E6-C6)*$B$2</f>
        <v>2217.8000000000002</v>
      </c>
      <c r="G6" s="39">
        <f>E6-F6</f>
        <v>16242.2</v>
      </c>
    </row>
    <row r="7" spans="1:7" x14ac:dyDescent="0.25">
      <c r="A7" s="40" t="s">
        <v>118</v>
      </c>
      <c r="B7" s="41">
        <v>15600</v>
      </c>
      <c r="C7" s="2">
        <v>0</v>
      </c>
      <c r="D7" s="2">
        <f t="shared" ref="D7:D12" si="0">B7*$A$2</f>
        <v>4680</v>
      </c>
      <c r="E7" s="2">
        <f t="shared" ref="E7:E11" si="1">D7+B7</f>
        <v>20280</v>
      </c>
      <c r="F7" s="2">
        <f t="shared" ref="F7:F12" si="2">(E7-C7)*$B$2</f>
        <v>2636.4</v>
      </c>
      <c r="G7" s="2">
        <f t="shared" ref="G7:G12" si="3">E7-F7</f>
        <v>17643.599999999999</v>
      </c>
    </row>
    <row r="8" spans="1:7" x14ac:dyDescent="0.25">
      <c r="A8" s="40" t="s">
        <v>119</v>
      </c>
      <c r="B8" s="41">
        <v>18000</v>
      </c>
      <c r="C8" s="2">
        <v>400</v>
      </c>
      <c r="D8" s="2">
        <f t="shared" si="0"/>
        <v>5400</v>
      </c>
      <c r="E8" s="2">
        <f t="shared" si="1"/>
        <v>23400</v>
      </c>
      <c r="F8" s="2">
        <f t="shared" si="2"/>
        <v>2990</v>
      </c>
      <c r="G8" s="2">
        <f t="shared" si="3"/>
        <v>20410</v>
      </c>
    </row>
    <row r="9" spans="1:7" x14ac:dyDescent="0.25">
      <c r="A9" s="40" t="s">
        <v>120</v>
      </c>
      <c r="B9" s="41">
        <v>12300</v>
      </c>
      <c r="C9" s="2">
        <v>0</v>
      </c>
      <c r="D9" s="2">
        <f t="shared" si="0"/>
        <v>3690</v>
      </c>
      <c r="E9" s="2">
        <f t="shared" si="1"/>
        <v>15990</v>
      </c>
      <c r="F9" s="2">
        <f t="shared" si="2"/>
        <v>2078.7000000000003</v>
      </c>
      <c r="G9" s="2">
        <f t="shared" si="3"/>
        <v>13911.3</v>
      </c>
    </row>
    <row r="10" spans="1:7" x14ac:dyDescent="0.25">
      <c r="A10" s="40" t="s">
        <v>121</v>
      </c>
      <c r="B10" s="41">
        <v>23500</v>
      </c>
      <c r="C10" s="2">
        <v>0</v>
      </c>
      <c r="D10" s="2">
        <f t="shared" si="0"/>
        <v>7050</v>
      </c>
      <c r="E10" s="2">
        <f t="shared" si="1"/>
        <v>30550</v>
      </c>
      <c r="F10" s="2">
        <f t="shared" si="2"/>
        <v>3971.5</v>
      </c>
      <c r="G10" s="2">
        <f t="shared" si="3"/>
        <v>26578.5</v>
      </c>
    </row>
    <row r="11" spans="1:7" x14ac:dyDescent="0.25">
      <c r="A11" s="40" t="s">
        <v>122</v>
      </c>
      <c r="B11" s="41">
        <v>19600</v>
      </c>
      <c r="C11" s="2">
        <v>2800</v>
      </c>
      <c r="D11" s="2">
        <f t="shared" si="0"/>
        <v>5880</v>
      </c>
      <c r="E11" s="2">
        <f t="shared" si="1"/>
        <v>25480</v>
      </c>
      <c r="F11" s="2">
        <f t="shared" si="2"/>
        <v>2948.4</v>
      </c>
      <c r="G11" s="2">
        <f t="shared" si="3"/>
        <v>22531.599999999999</v>
      </c>
    </row>
    <row r="12" spans="1:7" ht="15.75" thickBot="1" x14ac:dyDescent="0.3">
      <c r="A12" s="42" t="s">
        <v>123</v>
      </c>
      <c r="B12" s="43">
        <v>16500</v>
      </c>
      <c r="C12" s="44">
        <v>0</v>
      </c>
      <c r="D12" s="44">
        <f t="shared" si="0"/>
        <v>4950</v>
      </c>
      <c r="E12" s="44">
        <f>D12+B12</f>
        <v>21450</v>
      </c>
      <c r="F12" s="44">
        <f t="shared" si="2"/>
        <v>2788.5</v>
      </c>
      <c r="G12" s="44">
        <f t="shared" si="3"/>
        <v>18661.5</v>
      </c>
    </row>
    <row r="13" spans="1:7" ht="15.75" thickBot="1" x14ac:dyDescent="0.3">
      <c r="A13" s="45" t="s">
        <v>124</v>
      </c>
      <c r="B13" s="46"/>
      <c r="C13" s="47"/>
      <c r="D13" s="47"/>
      <c r="E13" s="47"/>
      <c r="F13" s="47">
        <f>SUM(F6:F12)</f>
        <v>19631.300000000003</v>
      </c>
      <c r="G13" s="48">
        <f>SUM(G6:G12)</f>
        <v>135978.70000000001</v>
      </c>
    </row>
    <row r="15" spans="1:7" x14ac:dyDescent="0.25">
      <c r="A15">
        <f>MAX(G6:G12)</f>
        <v>26578.5</v>
      </c>
      <c r="B15" t="s">
        <v>125</v>
      </c>
    </row>
    <row r="16" spans="1:7" x14ac:dyDescent="0.25">
      <c r="A16">
        <f>MIN(F6:F12)</f>
        <v>2078.7000000000003</v>
      </c>
      <c r="B16" t="s">
        <v>126</v>
      </c>
    </row>
    <row r="17" spans="1:2" x14ac:dyDescent="0.25">
      <c r="A17">
        <f>AVERAGE(B6:B12)</f>
        <v>17100</v>
      </c>
      <c r="B17" t="s">
        <v>127</v>
      </c>
    </row>
    <row r="18" spans="1:2" x14ac:dyDescent="0.25">
      <c r="A18">
        <f>COUNTIF(B6:B12, "&gt;16000")</f>
        <v>4</v>
      </c>
      <c r="B18" t="s">
        <v>128</v>
      </c>
    </row>
    <row r="19" spans="1:2" x14ac:dyDescent="0.25">
      <c r="A19">
        <f>SUMIF(C6:C12, "&gt;0", F6:F12)</f>
        <v>8156.2000000000007</v>
      </c>
      <c r="B19" t="s">
        <v>129</v>
      </c>
    </row>
    <row r="20" spans="1:2" x14ac:dyDescent="0.25">
      <c r="A20">
        <f>SUMIFS(F6:F12, B6:B12, "&gt;16000", C6:C12, 0)</f>
        <v>6760</v>
      </c>
      <c r="B20" t="s">
        <v>130</v>
      </c>
    </row>
  </sheetData>
  <mergeCells count="1"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BCF82-33D6-41B7-B019-294353E36362}">
  <dimension ref="A1:B6"/>
  <sheetViews>
    <sheetView workbookViewId="0">
      <selection activeCell="B30" sqref="B30"/>
    </sheetView>
  </sheetViews>
  <sheetFormatPr defaultRowHeight="15" x14ac:dyDescent="0.25"/>
  <cols>
    <col min="1" max="1" width="49.7109375" customWidth="1"/>
  </cols>
  <sheetData>
    <row r="1" spans="1:2" x14ac:dyDescent="0.25">
      <c r="A1" t="s">
        <v>131</v>
      </c>
      <c r="B1" t="s">
        <v>125</v>
      </c>
    </row>
    <row r="2" spans="1:2" x14ac:dyDescent="0.25">
      <c r="A2" t="s">
        <v>132</v>
      </c>
      <c r="B2" t="s">
        <v>126</v>
      </c>
    </row>
    <row r="3" spans="1:2" x14ac:dyDescent="0.25">
      <c r="A3" t="s">
        <v>133</v>
      </c>
      <c r="B3" t="s">
        <v>127</v>
      </c>
    </row>
    <row r="4" spans="1:2" x14ac:dyDescent="0.25">
      <c r="A4" t="s">
        <v>134</v>
      </c>
      <c r="B4" t="s">
        <v>128</v>
      </c>
    </row>
    <row r="5" spans="1:2" x14ac:dyDescent="0.25">
      <c r="A5" t="s">
        <v>135</v>
      </c>
      <c r="B5" t="s">
        <v>129</v>
      </c>
    </row>
    <row r="6" spans="1:2" x14ac:dyDescent="0.25">
      <c r="A6" t="s">
        <v>136</v>
      </c>
      <c r="B6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29B0-6784-437C-AD6F-3E2F15BF2CB5}">
  <dimension ref="A1:G22"/>
  <sheetViews>
    <sheetView workbookViewId="0">
      <selection activeCell="F13" sqref="E13:F14"/>
    </sheetView>
  </sheetViews>
  <sheetFormatPr defaultRowHeight="15" x14ac:dyDescent="0.25"/>
  <sheetData>
    <row r="1" spans="1:7" x14ac:dyDescent="0.25">
      <c r="A1" s="23" t="s">
        <v>76</v>
      </c>
      <c r="B1" s="23"/>
      <c r="C1" s="23"/>
      <c r="D1" s="23"/>
      <c r="E1" s="23"/>
      <c r="F1" s="23"/>
      <c r="G1" s="23"/>
    </row>
    <row r="2" spans="1:7" x14ac:dyDescent="0.25">
      <c r="A2" s="23" t="s">
        <v>137</v>
      </c>
      <c r="B2" s="23"/>
      <c r="C2" s="23"/>
      <c r="D2" s="23"/>
      <c r="E2" s="23"/>
      <c r="F2" s="23"/>
      <c r="G2" s="23"/>
    </row>
    <row r="3" spans="1:7" x14ac:dyDescent="0.25">
      <c r="A3" s="49" t="s">
        <v>78</v>
      </c>
      <c r="B3" s="49" t="s">
        <v>79</v>
      </c>
      <c r="C3" s="49" t="s">
        <v>16</v>
      </c>
      <c r="D3" s="49" t="s">
        <v>138</v>
      </c>
      <c r="E3" s="49" t="s">
        <v>81</v>
      </c>
      <c r="F3" s="49" t="s">
        <v>82</v>
      </c>
      <c r="G3" s="49" t="s">
        <v>83</v>
      </c>
    </row>
    <row r="4" spans="1:7" x14ac:dyDescent="0.25">
      <c r="A4" s="49"/>
      <c r="B4" s="49"/>
      <c r="C4" s="50"/>
      <c r="D4" s="51">
        <v>0.27</v>
      </c>
      <c r="E4" s="50"/>
      <c r="F4" s="51">
        <v>0.13</v>
      </c>
      <c r="G4" s="50"/>
    </row>
    <row r="5" spans="1:7" x14ac:dyDescent="0.25">
      <c r="A5" s="49">
        <v>200</v>
      </c>
      <c r="B5" s="49" t="s">
        <v>99</v>
      </c>
      <c r="C5" s="50">
        <v>4500</v>
      </c>
      <c r="D5" s="7">
        <f>$D$4*C5</f>
        <v>1215</v>
      </c>
      <c r="E5" s="8">
        <f>C5+D5</f>
        <v>5715</v>
      </c>
      <c r="F5" s="7">
        <f xml:space="preserve"> $F$4*E5</f>
        <v>742.95</v>
      </c>
      <c r="G5" s="8">
        <f>E5-F5</f>
        <v>4972.05</v>
      </c>
    </row>
    <row r="6" spans="1:7" x14ac:dyDescent="0.25">
      <c r="A6" s="49">
        <v>201</v>
      </c>
      <c r="B6" s="49" t="s">
        <v>84</v>
      </c>
      <c r="C6" s="50">
        <v>4850</v>
      </c>
      <c r="D6" s="7">
        <f t="shared" ref="D6:D18" si="0">$D$4*C6</f>
        <v>1309.5</v>
      </c>
      <c r="E6" s="8">
        <f t="shared" ref="E6:E18" si="1">C6+D6</f>
        <v>6159.5</v>
      </c>
      <c r="F6" s="7">
        <f t="shared" ref="F6:F18" si="2" xml:space="preserve"> $F$4*E6</f>
        <v>800.73500000000001</v>
      </c>
      <c r="G6" s="8">
        <f t="shared" ref="G6:G18" si="3">E6-F6</f>
        <v>5358.7650000000003</v>
      </c>
    </row>
    <row r="7" spans="1:7" x14ac:dyDescent="0.25">
      <c r="A7" s="49">
        <v>202</v>
      </c>
      <c r="B7" s="49" t="s">
        <v>86</v>
      </c>
      <c r="C7" s="50">
        <v>5200</v>
      </c>
      <c r="D7" s="7">
        <f t="shared" si="0"/>
        <v>1404</v>
      </c>
      <c r="E7" s="8">
        <f t="shared" si="1"/>
        <v>6604</v>
      </c>
      <c r="F7" s="7">
        <f t="shared" si="2"/>
        <v>858.52</v>
      </c>
      <c r="G7" s="8">
        <f t="shared" si="3"/>
        <v>5745.48</v>
      </c>
    </row>
    <row r="8" spans="1:7" x14ac:dyDescent="0.25">
      <c r="A8" s="49">
        <v>203</v>
      </c>
      <c r="B8" s="49" t="s">
        <v>101</v>
      </c>
      <c r="C8" s="50">
        <v>5550</v>
      </c>
      <c r="D8" s="7">
        <f t="shared" si="0"/>
        <v>1498.5</v>
      </c>
      <c r="E8" s="8">
        <f t="shared" si="1"/>
        <v>7048.5</v>
      </c>
      <c r="F8" s="7">
        <f t="shared" si="2"/>
        <v>916.30500000000006</v>
      </c>
      <c r="G8" s="8">
        <f t="shared" si="3"/>
        <v>6132.1949999999997</v>
      </c>
    </row>
    <row r="9" spans="1:7" x14ac:dyDescent="0.25">
      <c r="A9" s="49">
        <v>204</v>
      </c>
      <c r="B9" s="49" t="s">
        <v>89</v>
      </c>
      <c r="C9" s="50">
        <v>5900</v>
      </c>
      <c r="D9" s="7">
        <f t="shared" si="0"/>
        <v>1593</v>
      </c>
      <c r="E9" s="8">
        <f t="shared" si="1"/>
        <v>7493</v>
      </c>
      <c r="F9" s="7">
        <f t="shared" si="2"/>
        <v>974.09</v>
      </c>
      <c r="G9" s="8">
        <f t="shared" si="3"/>
        <v>6518.91</v>
      </c>
    </row>
    <row r="10" spans="1:7" x14ac:dyDescent="0.25">
      <c r="A10" s="49">
        <v>205</v>
      </c>
      <c r="B10" s="49" t="s">
        <v>92</v>
      </c>
      <c r="C10" s="50">
        <v>6250</v>
      </c>
      <c r="D10" s="7">
        <f t="shared" si="0"/>
        <v>1687.5</v>
      </c>
      <c r="E10" s="8">
        <f t="shared" si="1"/>
        <v>7937.5</v>
      </c>
      <c r="F10" s="7">
        <f t="shared" si="2"/>
        <v>1031.875</v>
      </c>
      <c r="G10" s="8">
        <f t="shared" si="3"/>
        <v>6905.625</v>
      </c>
    </row>
    <row r="11" spans="1:7" x14ac:dyDescent="0.25">
      <c r="A11" s="49">
        <v>206</v>
      </c>
      <c r="B11" s="49" t="s">
        <v>98</v>
      </c>
      <c r="C11" s="50">
        <v>6600</v>
      </c>
      <c r="D11" s="7">
        <f t="shared" si="0"/>
        <v>1782.0000000000002</v>
      </c>
      <c r="E11" s="8">
        <f t="shared" si="1"/>
        <v>8382</v>
      </c>
      <c r="F11" s="7">
        <f t="shared" si="2"/>
        <v>1089.6600000000001</v>
      </c>
      <c r="G11" s="8">
        <f t="shared" si="3"/>
        <v>7292.34</v>
      </c>
    </row>
    <row r="12" spans="1:7" x14ac:dyDescent="0.25">
      <c r="A12" s="49">
        <v>207</v>
      </c>
      <c r="B12" s="49" t="s">
        <v>100</v>
      </c>
      <c r="C12" s="50">
        <v>6950</v>
      </c>
      <c r="D12" s="7">
        <f t="shared" si="0"/>
        <v>1876.5000000000002</v>
      </c>
      <c r="E12" s="8">
        <f t="shared" si="1"/>
        <v>8826.5</v>
      </c>
      <c r="F12" s="7">
        <f t="shared" si="2"/>
        <v>1147.4449999999999</v>
      </c>
      <c r="G12" s="8">
        <f t="shared" si="3"/>
        <v>7679.0550000000003</v>
      </c>
    </row>
    <row r="13" spans="1:7" x14ac:dyDescent="0.25">
      <c r="A13" s="49">
        <v>208</v>
      </c>
      <c r="B13" s="49" t="s">
        <v>96</v>
      </c>
      <c r="C13" s="50">
        <v>7300</v>
      </c>
      <c r="D13" s="7">
        <f t="shared" si="0"/>
        <v>1971.0000000000002</v>
      </c>
      <c r="E13" s="8">
        <f t="shared" si="1"/>
        <v>9271</v>
      </c>
      <c r="F13" s="7">
        <f t="shared" si="2"/>
        <v>1205.23</v>
      </c>
      <c r="G13" s="8">
        <f t="shared" si="3"/>
        <v>8065.77</v>
      </c>
    </row>
    <row r="14" spans="1:7" x14ac:dyDescent="0.25">
      <c r="A14" s="49">
        <v>209</v>
      </c>
      <c r="B14" s="49" t="s">
        <v>94</v>
      </c>
      <c r="C14" s="50">
        <v>7650</v>
      </c>
      <c r="D14" s="7">
        <f t="shared" si="0"/>
        <v>2065.5</v>
      </c>
      <c r="E14" s="8">
        <f t="shared" si="1"/>
        <v>9715.5</v>
      </c>
      <c r="F14" s="7">
        <f t="shared" si="2"/>
        <v>1263.0150000000001</v>
      </c>
      <c r="G14" s="8">
        <f t="shared" si="3"/>
        <v>8452.4850000000006</v>
      </c>
    </row>
    <row r="15" spans="1:7" x14ac:dyDescent="0.25">
      <c r="A15" s="49">
        <v>210</v>
      </c>
      <c r="B15" s="49" t="s">
        <v>91</v>
      </c>
      <c r="C15" s="50">
        <v>8000</v>
      </c>
      <c r="D15" s="7">
        <f t="shared" si="0"/>
        <v>2160</v>
      </c>
      <c r="E15" s="8">
        <f t="shared" si="1"/>
        <v>10160</v>
      </c>
      <c r="F15" s="7">
        <f t="shared" si="2"/>
        <v>1320.8</v>
      </c>
      <c r="G15" s="8">
        <f t="shared" si="3"/>
        <v>8839.2000000000007</v>
      </c>
    </row>
    <row r="16" spans="1:7" x14ac:dyDescent="0.25">
      <c r="A16" s="49">
        <v>211</v>
      </c>
      <c r="B16" s="49" t="s">
        <v>102</v>
      </c>
      <c r="C16" s="50">
        <v>8350</v>
      </c>
      <c r="D16" s="7">
        <f t="shared" si="0"/>
        <v>2254.5</v>
      </c>
      <c r="E16" s="8">
        <f t="shared" si="1"/>
        <v>10604.5</v>
      </c>
      <c r="F16" s="7">
        <f t="shared" si="2"/>
        <v>1378.585</v>
      </c>
      <c r="G16" s="8">
        <f t="shared" si="3"/>
        <v>9225.9150000000009</v>
      </c>
    </row>
    <row r="17" spans="1:7" x14ac:dyDescent="0.25">
      <c r="A17" s="49">
        <v>212</v>
      </c>
      <c r="B17" s="49" t="s">
        <v>87</v>
      </c>
      <c r="C17" s="50">
        <v>8700</v>
      </c>
      <c r="D17" s="7">
        <f t="shared" si="0"/>
        <v>2349</v>
      </c>
      <c r="E17" s="8">
        <f t="shared" si="1"/>
        <v>11049</v>
      </c>
      <c r="F17" s="7">
        <f t="shared" si="2"/>
        <v>1436.3700000000001</v>
      </c>
      <c r="G17" s="8">
        <f t="shared" si="3"/>
        <v>9612.6299999999992</v>
      </c>
    </row>
    <row r="18" spans="1:7" x14ac:dyDescent="0.25">
      <c r="A18" s="49">
        <v>213</v>
      </c>
      <c r="B18" s="49" t="s">
        <v>93</v>
      </c>
      <c r="C18" s="50">
        <v>9050</v>
      </c>
      <c r="D18" s="7">
        <f t="shared" si="0"/>
        <v>2443.5</v>
      </c>
      <c r="E18" s="8">
        <f t="shared" si="1"/>
        <v>11493.5</v>
      </c>
      <c r="F18" s="7">
        <f t="shared" si="2"/>
        <v>1494.155</v>
      </c>
      <c r="G18" s="8">
        <f t="shared" si="3"/>
        <v>9999.3449999999993</v>
      </c>
    </row>
    <row r="19" spans="1:7" x14ac:dyDescent="0.25">
      <c r="A19" s="49"/>
      <c r="B19" s="49" t="s">
        <v>105</v>
      </c>
      <c r="C19" s="49"/>
      <c r="D19" s="49"/>
      <c r="E19" s="49"/>
      <c r="F19" s="49"/>
      <c r="G19" s="49"/>
    </row>
    <row r="20" spans="1:7" x14ac:dyDescent="0.25">
      <c r="A20" s="23" t="s">
        <v>106</v>
      </c>
      <c r="B20" s="23"/>
      <c r="C20" s="27">
        <f>MIN(C5:C18)</f>
        <v>4500</v>
      </c>
    </row>
    <row r="21" spans="1:7" x14ac:dyDescent="0.25">
      <c r="A21" s="23" t="s">
        <v>107</v>
      </c>
      <c r="B21" s="23"/>
      <c r="C21" s="27">
        <f>MAX(C5:C18)</f>
        <v>9050</v>
      </c>
    </row>
    <row r="22" spans="1:7" x14ac:dyDescent="0.25">
      <c r="A22" s="23" t="s">
        <v>108</v>
      </c>
      <c r="B22" s="23"/>
      <c r="C22" s="27">
        <f>AVERAGE(C5:C18)</f>
        <v>6775</v>
      </c>
    </row>
  </sheetData>
  <mergeCells count="5">
    <mergeCell ref="A1:G1"/>
    <mergeCell ref="A2:G2"/>
    <mergeCell ref="A20:B20"/>
    <mergeCell ref="A21:B21"/>
    <mergeCell ref="A22:B22"/>
  </mergeCells>
  <conditionalFormatting sqref="G5:G18">
    <cfRule type="cellIs" dxfId="20" priority="1" operator="greaterThan">
      <formula>10000</formula>
    </cfRule>
    <cfRule type="cellIs" dxfId="19" priority="2" operator="between">
      <formula>7000</formula>
      <formula>10000</formula>
    </cfRule>
    <cfRule type="cellIs" dxfId="18" priority="3" operator="between">
      <formula>5000</formula>
      <formula>7000</formula>
    </cfRule>
    <cfRule type="cellIs" dxfId="17" priority="4" operator="lessThan">
      <formula>7000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5410-E208-47DB-BD44-A63556EB4524}">
  <dimension ref="C1:J22"/>
  <sheetViews>
    <sheetView topLeftCell="C1" workbookViewId="0">
      <selection activeCell="E15" sqref="D15:E15"/>
    </sheetView>
  </sheetViews>
  <sheetFormatPr defaultRowHeight="15" x14ac:dyDescent="0.25"/>
  <sheetData>
    <row r="1" spans="3:10" x14ac:dyDescent="0.25">
      <c r="C1" s="23" t="s">
        <v>76</v>
      </c>
      <c r="D1" s="23"/>
      <c r="E1" s="23"/>
      <c r="F1" s="23"/>
      <c r="G1" s="23"/>
      <c r="H1" s="23"/>
      <c r="I1" s="23"/>
      <c r="J1" s="23"/>
    </row>
    <row r="2" spans="3:10" x14ac:dyDescent="0.25">
      <c r="C2" s="23" t="s">
        <v>139</v>
      </c>
      <c r="D2" s="23"/>
      <c r="E2" s="23"/>
      <c r="F2" s="23"/>
      <c r="G2" s="23"/>
      <c r="H2" s="23"/>
      <c r="I2" s="23"/>
      <c r="J2" s="23"/>
    </row>
    <row r="3" spans="3:10" x14ac:dyDescent="0.25">
      <c r="C3" s="7" t="s">
        <v>78</v>
      </c>
      <c r="D3" s="7" t="s">
        <v>79</v>
      </c>
      <c r="E3" s="7" t="s">
        <v>16</v>
      </c>
      <c r="F3" s="7" t="s">
        <v>138</v>
      </c>
      <c r="G3" s="7" t="s">
        <v>140</v>
      </c>
      <c r="H3" s="7" t="s">
        <v>81</v>
      </c>
      <c r="I3" s="7" t="s">
        <v>82</v>
      </c>
      <c r="J3" s="7" t="s">
        <v>83</v>
      </c>
    </row>
    <row r="4" spans="3:10" x14ac:dyDescent="0.25">
      <c r="C4" s="7">
        <v>200</v>
      </c>
      <c r="D4" s="7" t="s">
        <v>99</v>
      </c>
      <c r="E4" s="8">
        <v>4500</v>
      </c>
      <c r="F4" s="8">
        <f>$D$18*E4</f>
        <v>0</v>
      </c>
      <c r="G4" s="8">
        <f>$E$18*E4</f>
        <v>0</v>
      </c>
      <c r="H4" s="8">
        <f t="shared" ref="H4:H17" si="0">E4+F4+G4</f>
        <v>4500</v>
      </c>
      <c r="I4" s="8">
        <f xml:space="preserve"> $G$18*H4</f>
        <v>225</v>
      </c>
      <c r="J4" s="8">
        <f t="shared" ref="J4:J17" si="1">H4-I4</f>
        <v>4275</v>
      </c>
    </row>
    <row r="5" spans="3:10" x14ac:dyDescent="0.25">
      <c r="C5" s="7">
        <v>201</v>
      </c>
      <c r="D5" s="7" t="s">
        <v>84</v>
      </c>
      <c r="E5" s="8">
        <v>4850</v>
      </c>
      <c r="F5" s="8">
        <f t="shared" ref="F5:F17" si="2">$D$18*E5</f>
        <v>0</v>
      </c>
      <c r="G5" s="8">
        <f t="shared" ref="G5:G17" si="3">$E$18*E5</f>
        <v>0</v>
      </c>
      <c r="H5" s="8">
        <f t="shared" si="0"/>
        <v>4850</v>
      </c>
      <c r="I5" s="8">
        <f t="shared" ref="I5:I17" si="4" xml:space="preserve"> $G$18*H5</f>
        <v>242.5</v>
      </c>
      <c r="J5" s="8">
        <f t="shared" si="1"/>
        <v>4607.5</v>
      </c>
    </row>
    <row r="6" spans="3:10" x14ac:dyDescent="0.25">
      <c r="C6" s="7">
        <v>202</v>
      </c>
      <c r="D6" s="7" t="s">
        <v>86</v>
      </c>
      <c r="E6" s="8">
        <v>5200</v>
      </c>
      <c r="F6" s="8">
        <f t="shared" si="2"/>
        <v>0</v>
      </c>
      <c r="G6" s="8">
        <f t="shared" si="3"/>
        <v>0</v>
      </c>
      <c r="H6" s="8">
        <f t="shared" si="0"/>
        <v>5200</v>
      </c>
      <c r="I6" s="8">
        <f t="shared" si="4"/>
        <v>260</v>
      </c>
      <c r="J6" s="8">
        <f t="shared" si="1"/>
        <v>4940</v>
      </c>
    </row>
    <row r="7" spans="3:10" x14ac:dyDescent="0.25">
      <c r="C7" s="7">
        <v>203</v>
      </c>
      <c r="D7" s="7" t="s">
        <v>101</v>
      </c>
      <c r="E7" s="8">
        <v>5550</v>
      </c>
      <c r="F7" s="8">
        <f t="shared" si="2"/>
        <v>0</v>
      </c>
      <c r="G7" s="8">
        <f t="shared" si="3"/>
        <v>0</v>
      </c>
      <c r="H7" s="8">
        <f t="shared" si="0"/>
        <v>5550</v>
      </c>
      <c r="I7" s="8">
        <f t="shared" si="4"/>
        <v>277.5</v>
      </c>
      <c r="J7" s="8">
        <f t="shared" si="1"/>
        <v>5272.5</v>
      </c>
    </row>
    <row r="8" spans="3:10" x14ac:dyDescent="0.25">
      <c r="C8" s="7">
        <v>204</v>
      </c>
      <c r="D8" s="7" t="s">
        <v>89</v>
      </c>
      <c r="E8" s="8">
        <v>5900</v>
      </c>
      <c r="F8" s="8">
        <f t="shared" si="2"/>
        <v>0</v>
      </c>
      <c r="G8" s="8">
        <f t="shared" si="3"/>
        <v>0</v>
      </c>
      <c r="H8" s="8">
        <f t="shared" si="0"/>
        <v>5900</v>
      </c>
      <c r="I8" s="8">
        <f t="shared" si="4"/>
        <v>295</v>
      </c>
      <c r="J8" s="8">
        <f t="shared" si="1"/>
        <v>5605</v>
      </c>
    </row>
    <row r="9" spans="3:10" x14ac:dyDescent="0.25">
      <c r="C9" s="7">
        <v>205</v>
      </c>
      <c r="D9" s="7" t="s">
        <v>92</v>
      </c>
      <c r="E9" s="8">
        <v>6250</v>
      </c>
      <c r="F9" s="8">
        <f t="shared" si="2"/>
        <v>0</v>
      </c>
      <c r="G9" s="8">
        <f t="shared" si="3"/>
        <v>0</v>
      </c>
      <c r="H9" s="8">
        <f t="shared" si="0"/>
        <v>6250</v>
      </c>
      <c r="I9" s="8">
        <f t="shared" si="4"/>
        <v>312.5</v>
      </c>
      <c r="J9" s="8">
        <f t="shared" si="1"/>
        <v>5937.5</v>
      </c>
    </row>
    <row r="10" spans="3:10" x14ac:dyDescent="0.25">
      <c r="C10" s="7">
        <v>206</v>
      </c>
      <c r="D10" s="7" t="s">
        <v>98</v>
      </c>
      <c r="E10" s="8">
        <v>6600</v>
      </c>
      <c r="F10" s="8">
        <f t="shared" si="2"/>
        <v>0</v>
      </c>
      <c r="G10" s="8">
        <f t="shared" si="3"/>
        <v>0</v>
      </c>
      <c r="H10" s="8">
        <f t="shared" si="0"/>
        <v>6600</v>
      </c>
      <c r="I10" s="8">
        <f t="shared" si="4"/>
        <v>330</v>
      </c>
      <c r="J10" s="8">
        <f t="shared" si="1"/>
        <v>6270</v>
      </c>
    </row>
    <row r="11" spans="3:10" x14ac:dyDescent="0.25">
      <c r="C11" s="7">
        <v>207</v>
      </c>
      <c r="D11" s="7" t="s">
        <v>100</v>
      </c>
      <c r="E11" s="8">
        <v>6950</v>
      </c>
      <c r="F11" s="8">
        <f t="shared" si="2"/>
        <v>0</v>
      </c>
      <c r="G11" s="8">
        <f t="shared" si="3"/>
        <v>0</v>
      </c>
      <c r="H11" s="8">
        <f t="shared" si="0"/>
        <v>6950</v>
      </c>
      <c r="I11" s="8">
        <f t="shared" si="4"/>
        <v>347.5</v>
      </c>
      <c r="J11" s="8">
        <f t="shared" si="1"/>
        <v>6602.5</v>
      </c>
    </row>
    <row r="12" spans="3:10" x14ac:dyDescent="0.25">
      <c r="C12" s="7">
        <v>208</v>
      </c>
      <c r="D12" s="7" t="s">
        <v>96</v>
      </c>
      <c r="E12" s="8">
        <v>7300</v>
      </c>
      <c r="F12" s="8">
        <f t="shared" si="2"/>
        <v>0</v>
      </c>
      <c r="G12" s="8">
        <f t="shared" si="3"/>
        <v>0</v>
      </c>
      <c r="H12" s="8">
        <f t="shared" si="0"/>
        <v>7300</v>
      </c>
      <c r="I12" s="8">
        <f t="shared" si="4"/>
        <v>365</v>
      </c>
      <c r="J12" s="8">
        <f t="shared" si="1"/>
        <v>6935</v>
      </c>
    </row>
    <row r="13" spans="3:10" x14ac:dyDescent="0.25">
      <c r="C13" s="7">
        <v>209</v>
      </c>
      <c r="D13" s="7" t="s">
        <v>94</v>
      </c>
      <c r="E13" s="8">
        <v>7650</v>
      </c>
      <c r="F13" s="8">
        <f t="shared" si="2"/>
        <v>0</v>
      </c>
      <c r="G13" s="8">
        <f t="shared" si="3"/>
        <v>0</v>
      </c>
      <c r="H13" s="8">
        <f t="shared" si="0"/>
        <v>7650</v>
      </c>
      <c r="I13" s="8">
        <f t="shared" si="4"/>
        <v>382.5</v>
      </c>
      <c r="J13" s="8">
        <f t="shared" si="1"/>
        <v>7267.5</v>
      </c>
    </row>
    <row r="14" spans="3:10" x14ac:dyDescent="0.25">
      <c r="C14" s="7">
        <v>210</v>
      </c>
      <c r="D14" s="7" t="s">
        <v>91</v>
      </c>
      <c r="E14" s="8">
        <v>8000</v>
      </c>
      <c r="F14" s="8">
        <f t="shared" si="2"/>
        <v>0</v>
      </c>
      <c r="G14" s="8">
        <f t="shared" si="3"/>
        <v>0</v>
      </c>
      <c r="H14" s="8">
        <f t="shared" si="0"/>
        <v>8000</v>
      </c>
      <c r="I14" s="8">
        <f t="shared" si="4"/>
        <v>400</v>
      </c>
      <c r="J14" s="8">
        <f t="shared" si="1"/>
        <v>7600</v>
      </c>
    </row>
    <row r="15" spans="3:10" x14ac:dyDescent="0.25">
      <c r="C15" s="7">
        <v>211</v>
      </c>
      <c r="D15" s="7" t="s">
        <v>102</v>
      </c>
      <c r="E15" s="8">
        <v>8350</v>
      </c>
      <c r="F15" s="8">
        <f t="shared" si="2"/>
        <v>0</v>
      </c>
      <c r="G15" s="8">
        <f t="shared" si="3"/>
        <v>0</v>
      </c>
      <c r="H15" s="8">
        <f t="shared" si="0"/>
        <v>8350</v>
      </c>
      <c r="I15" s="8">
        <f t="shared" si="4"/>
        <v>417.5</v>
      </c>
      <c r="J15" s="8">
        <f t="shared" si="1"/>
        <v>7932.5</v>
      </c>
    </row>
    <row r="16" spans="3:10" x14ac:dyDescent="0.25">
      <c r="C16" s="7">
        <v>212</v>
      </c>
      <c r="D16" s="7" t="s">
        <v>87</v>
      </c>
      <c r="E16" s="8">
        <v>8700</v>
      </c>
      <c r="F16" s="8">
        <f t="shared" si="2"/>
        <v>0</v>
      </c>
      <c r="G16" s="8">
        <f t="shared" si="3"/>
        <v>0</v>
      </c>
      <c r="H16" s="8">
        <f t="shared" si="0"/>
        <v>8700</v>
      </c>
      <c r="I16" s="8">
        <f t="shared" si="4"/>
        <v>435</v>
      </c>
      <c r="J16" s="8">
        <f t="shared" si="1"/>
        <v>8265</v>
      </c>
    </row>
    <row r="17" spans="3:10" x14ac:dyDescent="0.25">
      <c r="C17" s="7">
        <v>213</v>
      </c>
      <c r="D17" s="7" t="s">
        <v>93</v>
      </c>
      <c r="E17" s="8">
        <v>9050</v>
      </c>
      <c r="F17" s="8">
        <f t="shared" si="2"/>
        <v>0</v>
      </c>
      <c r="G17" s="8">
        <f t="shared" si="3"/>
        <v>0</v>
      </c>
      <c r="H17" s="8">
        <f t="shared" si="0"/>
        <v>9050</v>
      </c>
      <c r="I17" s="8">
        <f t="shared" si="4"/>
        <v>452.5</v>
      </c>
      <c r="J17" s="8">
        <f t="shared" si="1"/>
        <v>8597.5</v>
      </c>
    </row>
    <row r="18" spans="3:10" x14ac:dyDescent="0.25">
      <c r="C18" s="7"/>
      <c r="D18" s="7"/>
      <c r="E18" s="7"/>
      <c r="F18" s="24">
        <v>0.32</v>
      </c>
      <c r="G18" s="24">
        <v>0.05</v>
      </c>
      <c r="H18" s="7"/>
      <c r="I18" s="24">
        <v>0.13</v>
      </c>
      <c r="J18" s="7"/>
    </row>
    <row r="19" spans="3:10" x14ac:dyDescent="0.25">
      <c r="C19" s="7"/>
      <c r="D19" s="7" t="s">
        <v>105</v>
      </c>
      <c r="E19" s="7"/>
      <c r="F19" s="7"/>
      <c r="G19" s="7"/>
      <c r="H19" s="7"/>
      <c r="I19" s="7"/>
      <c r="J19" s="7"/>
    </row>
    <row r="20" spans="3:10" x14ac:dyDescent="0.25">
      <c r="C20" s="23" t="s">
        <v>106</v>
      </c>
      <c r="D20" s="23"/>
      <c r="E20" s="27">
        <f>MIN(E5:E18)</f>
        <v>4850</v>
      </c>
    </row>
    <row r="21" spans="3:10" x14ac:dyDescent="0.25">
      <c r="C21" s="23" t="s">
        <v>107</v>
      </c>
      <c r="D21" s="23"/>
      <c r="E21" s="27">
        <f>MAX(E5:E18)</f>
        <v>9050</v>
      </c>
    </row>
    <row r="22" spans="3:10" x14ac:dyDescent="0.25">
      <c r="C22" s="23" t="s">
        <v>108</v>
      </c>
      <c r="D22" s="23"/>
      <c r="E22" s="27">
        <f>AVERAGE(E5:E18)</f>
        <v>6950</v>
      </c>
    </row>
  </sheetData>
  <mergeCells count="5">
    <mergeCell ref="C1:J1"/>
    <mergeCell ref="C2:J2"/>
    <mergeCell ref="C20:D20"/>
    <mergeCell ref="C21:D21"/>
    <mergeCell ref="C22:D22"/>
  </mergeCells>
  <conditionalFormatting sqref="E4:F17">
    <cfRule type="cellIs" dxfId="16" priority="1" operator="greaterThan">
      <formula>10000</formula>
    </cfRule>
    <cfRule type="cellIs" dxfId="15" priority="2" operator="between">
      <formula>8000</formula>
      <formula>10000</formula>
    </cfRule>
    <cfRule type="cellIs" dxfId="14" priority="3" operator="between">
      <formula>6000</formula>
      <formula>8000</formula>
    </cfRule>
    <cfRule type="cellIs" dxfId="13" priority="4" operator="between">
      <formula>5000</formula>
      <formula>6000</formula>
    </cfRule>
    <cfRule type="cellIs" dxfId="12" priority="5" operator="between">
      <formula>5000</formula>
      <formula>6000</formula>
    </cfRule>
    <cfRule type="cellIs" dxfId="11" priority="6" operator="between">
      <formula>5000</formula>
      <formula>6000</formula>
    </cfRule>
    <cfRule type="cellIs" dxfId="10" priority="7" operator="between">
      <formula>2000</formula>
      <formula>5000</formula>
    </cfRule>
    <cfRule type="cellIs" dxfId="9" priority="8" operator="lessThan">
      <formula>2000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81D6-2EA8-4CBA-87C2-BD440227D8E4}">
  <dimension ref="A1:G21"/>
  <sheetViews>
    <sheetView workbookViewId="0">
      <selection activeCell="E14" sqref="E14:E15"/>
    </sheetView>
  </sheetViews>
  <sheetFormatPr defaultRowHeight="15" x14ac:dyDescent="0.25"/>
  <cols>
    <col min="1" max="1" width="10.7109375" bestFit="1" customWidth="1"/>
    <col min="2" max="2" width="10.85546875" bestFit="1" customWidth="1"/>
    <col min="3" max="3" width="10.28515625" bestFit="1" customWidth="1"/>
    <col min="4" max="4" width="9.42578125" bestFit="1" customWidth="1"/>
    <col min="5" max="5" width="8.28515625" bestFit="1" customWidth="1"/>
    <col min="6" max="6" width="9.7109375" customWidth="1"/>
    <col min="7" max="7" width="10.140625" customWidth="1"/>
  </cols>
  <sheetData>
    <row r="1" spans="1:7" x14ac:dyDescent="0.25">
      <c r="A1" s="4" t="s">
        <v>4</v>
      </c>
      <c r="B1" s="5"/>
      <c r="C1" s="5"/>
      <c r="D1" s="6"/>
    </row>
    <row r="2" spans="1:7" x14ac:dyDescent="0.25">
      <c r="A2" s="7" t="s">
        <v>5</v>
      </c>
      <c r="B2" s="7" t="s">
        <v>6</v>
      </c>
      <c r="C2" s="7" t="s">
        <v>7</v>
      </c>
      <c r="D2" s="7" t="s">
        <v>8</v>
      </c>
    </row>
    <row r="3" spans="1:7" x14ac:dyDescent="0.25">
      <c r="A3" s="7" t="s">
        <v>9</v>
      </c>
      <c r="B3" s="7">
        <v>1</v>
      </c>
      <c r="C3" s="8">
        <v>15256.7</v>
      </c>
      <c r="D3" s="8">
        <v>3000</v>
      </c>
    </row>
    <row r="4" spans="1:7" x14ac:dyDescent="0.25">
      <c r="A4" s="7" t="s">
        <v>10</v>
      </c>
      <c r="B4" s="7">
        <v>2</v>
      </c>
      <c r="C4" s="8">
        <v>10450.15</v>
      </c>
      <c r="D4" s="8">
        <v>3000</v>
      </c>
    </row>
    <row r="5" spans="1:7" x14ac:dyDescent="0.25">
      <c r="A5" s="7" t="s">
        <v>11</v>
      </c>
      <c r="B5" s="7">
        <v>3</v>
      </c>
      <c r="C5" s="8">
        <v>5922.37</v>
      </c>
      <c r="D5" s="8">
        <v>3000</v>
      </c>
    </row>
    <row r="7" spans="1:7" x14ac:dyDescent="0.25">
      <c r="A7" s="9" t="s">
        <v>12</v>
      </c>
      <c r="B7" s="9"/>
      <c r="C7" s="9"/>
      <c r="D7" s="9"/>
      <c r="E7" s="9"/>
      <c r="F7" s="9"/>
      <c r="G7" s="9"/>
    </row>
    <row r="8" spans="1:7" x14ac:dyDescent="0.25">
      <c r="A8" s="7" t="s">
        <v>13</v>
      </c>
      <c r="B8" s="2" t="s">
        <v>14</v>
      </c>
      <c r="C8" s="7" t="s">
        <v>15</v>
      </c>
      <c r="D8" s="2" t="s">
        <v>16</v>
      </c>
      <c r="E8" s="2" t="s">
        <v>17</v>
      </c>
      <c r="F8" s="2" t="s">
        <v>18</v>
      </c>
      <c r="G8" s="2" t="s">
        <v>19</v>
      </c>
    </row>
    <row r="9" spans="1:7" x14ac:dyDescent="0.25">
      <c r="A9" s="2">
        <v>1</v>
      </c>
      <c r="B9" s="2" t="s">
        <v>20</v>
      </c>
      <c r="C9" s="2">
        <v>2</v>
      </c>
      <c r="D9" s="10">
        <f>IF(C9=$B$3,$C$3,IF(C9=$B$4,$C$4,$C$5))</f>
        <v>10450.15</v>
      </c>
      <c r="E9" s="10">
        <f>IF(C9=$B$3,$D$3,IF(C9=$B$4,$D$4,$D$5))</f>
        <v>3000</v>
      </c>
      <c r="F9" s="10">
        <f>SUM(D9,E9,)*0.13</f>
        <v>1748.5195000000001</v>
      </c>
      <c r="G9" s="10">
        <f>D9+E9-F9</f>
        <v>11701.630499999999</v>
      </c>
    </row>
    <row r="10" spans="1:7" x14ac:dyDescent="0.25">
      <c r="A10" s="2">
        <v>2</v>
      </c>
      <c r="B10" s="2" t="s">
        <v>21</v>
      </c>
      <c r="C10" s="2">
        <v>3</v>
      </c>
      <c r="D10" s="10">
        <f t="shared" ref="D10:D16" si="0">IF(C10=$B$3,$C$3,IF(C10=$B$4,$C$4,$C$5))</f>
        <v>5922.37</v>
      </c>
      <c r="E10" s="10">
        <f t="shared" ref="E10:E16" si="1">IF(C10=$B$3,$D$3,IF(C10=$B$4,$D$4,$D$5))</f>
        <v>3000</v>
      </c>
      <c r="F10" s="10">
        <f t="shared" ref="F10:F16" si="2">SUM(D10,E10,)*0.13</f>
        <v>1159.9080999999999</v>
      </c>
      <c r="G10" s="10">
        <f t="shared" ref="G10:G16" si="3">D10+E10-F10</f>
        <v>7762.4618999999993</v>
      </c>
    </row>
    <row r="11" spans="1:7" x14ac:dyDescent="0.25">
      <c r="A11" s="2">
        <v>3</v>
      </c>
      <c r="B11" s="2" t="s">
        <v>22</v>
      </c>
      <c r="C11" s="2">
        <v>2</v>
      </c>
      <c r="D11" s="10">
        <f t="shared" si="0"/>
        <v>10450.15</v>
      </c>
      <c r="E11" s="10">
        <f t="shared" si="1"/>
        <v>3000</v>
      </c>
      <c r="F11" s="10">
        <f t="shared" si="2"/>
        <v>1748.5195000000001</v>
      </c>
      <c r="G11" s="10">
        <f t="shared" si="3"/>
        <v>11701.630499999999</v>
      </c>
    </row>
    <row r="12" spans="1:7" x14ac:dyDescent="0.25">
      <c r="A12" s="2">
        <v>4</v>
      </c>
      <c r="B12" s="2" t="s">
        <v>23</v>
      </c>
      <c r="C12" s="2">
        <v>3</v>
      </c>
      <c r="D12" s="10">
        <f t="shared" si="0"/>
        <v>5922.37</v>
      </c>
      <c r="E12" s="10">
        <f t="shared" si="1"/>
        <v>3000</v>
      </c>
      <c r="F12" s="10">
        <f t="shared" si="2"/>
        <v>1159.9080999999999</v>
      </c>
      <c r="G12" s="10">
        <f t="shared" si="3"/>
        <v>7762.4618999999993</v>
      </c>
    </row>
    <row r="13" spans="1:7" x14ac:dyDescent="0.25">
      <c r="A13" s="2">
        <v>5</v>
      </c>
      <c r="B13" s="2" t="s">
        <v>24</v>
      </c>
      <c r="C13" s="2">
        <v>3</v>
      </c>
      <c r="D13" s="10">
        <f t="shared" si="0"/>
        <v>5922.37</v>
      </c>
      <c r="E13" s="10">
        <f t="shared" si="1"/>
        <v>3000</v>
      </c>
      <c r="F13" s="10">
        <f t="shared" si="2"/>
        <v>1159.9080999999999</v>
      </c>
      <c r="G13" s="10">
        <f t="shared" si="3"/>
        <v>7762.4618999999993</v>
      </c>
    </row>
    <row r="14" spans="1:7" x14ac:dyDescent="0.25">
      <c r="A14" s="2">
        <v>6</v>
      </c>
      <c r="B14" s="2" t="s">
        <v>25</v>
      </c>
      <c r="C14" s="2">
        <v>3</v>
      </c>
      <c r="D14" s="10">
        <f t="shared" si="0"/>
        <v>5922.37</v>
      </c>
      <c r="E14" s="10">
        <f t="shared" si="1"/>
        <v>3000</v>
      </c>
      <c r="F14" s="10">
        <f t="shared" si="2"/>
        <v>1159.9080999999999</v>
      </c>
      <c r="G14" s="10">
        <f t="shared" si="3"/>
        <v>7762.4618999999993</v>
      </c>
    </row>
    <row r="15" spans="1:7" x14ac:dyDescent="0.25">
      <c r="A15" s="2">
        <v>7</v>
      </c>
      <c r="B15" s="2" t="s">
        <v>26</v>
      </c>
      <c r="C15" s="2">
        <v>1</v>
      </c>
      <c r="D15" s="10">
        <f t="shared" si="0"/>
        <v>15256.7</v>
      </c>
      <c r="E15" s="10">
        <f t="shared" si="1"/>
        <v>3000</v>
      </c>
      <c r="F15" s="10">
        <f t="shared" si="2"/>
        <v>2373.3710000000001</v>
      </c>
      <c r="G15" s="10">
        <f t="shared" si="3"/>
        <v>15883.329000000002</v>
      </c>
    </row>
    <row r="16" spans="1:7" x14ac:dyDescent="0.25">
      <c r="A16" s="2">
        <v>8</v>
      </c>
      <c r="B16" s="2" t="s">
        <v>27</v>
      </c>
      <c r="C16" s="2">
        <v>3</v>
      </c>
      <c r="D16" s="10">
        <f t="shared" si="0"/>
        <v>5922.37</v>
      </c>
      <c r="E16" s="10">
        <f t="shared" si="1"/>
        <v>3000</v>
      </c>
      <c r="F16" s="10">
        <f t="shared" si="2"/>
        <v>1159.9080999999999</v>
      </c>
      <c r="G16" s="10">
        <f t="shared" si="3"/>
        <v>7762.4618999999993</v>
      </c>
    </row>
    <row r="17" spans="1:7" x14ac:dyDescent="0.25">
      <c r="A17" s="2">
        <v>9</v>
      </c>
      <c r="B17" s="2" t="s">
        <v>28</v>
      </c>
      <c r="C17" s="2">
        <v>3</v>
      </c>
      <c r="D17" s="10">
        <f>IF(C17=$B$3,$C$3,IF(C17=$B$4,$C$4,$C$5))</f>
        <v>5922.37</v>
      </c>
      <c r="E17" s="10">
        <f>IF(C17=$B$3,$D$3,IF(C17=$B$4,$D$4,$D$5))</f>
        <v>3000</v>
      </c>
      <c r="F17" s="10">
        <f>SUM(D17,E17,)*0.13</f>
        <v>1159.9080999999999</v>
      </c>
      <c r="G17" s="10">
        <f>D17+E17-F17</f>
        <v>7762.4618999999993</v>
      </c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11" t="s">
        <v>29</v>
      </c>
      <c r="B19" s="11"/>
      <c r="C19" s="11"/>
      <c r="D19" s="11"/>
      <c r="E19" s="11"/>
      <c r="F19" s="11"/>
      <c r="G19" s="10">
        <f>SUM(G9:G18)</f>
        <v>85861.361399999994</v>
      </c>
    </row>
    <row r="20" spans="1:7" x14ac:dyDescent="0.25">
      <c r="F20" s="2" t="s">
        <v>30</v>
      </c>
      <c r="G20" s="10">
        <f>MIN(G9:G17)</f>
        <v>7762.4618999999993</v>
      </c>
    </row>
    <row r="21" spans="1:7" x14ac:dyDescent="0.25">
      <c r="F21" s="2" t="s">
        <v>31</v>
      </c>
      <c r="G21" s="10">
        <f>MAX(G9:G17)</f>
        <v>15883.329000000002</v>
      </c>
    </row>
  </sheetData>
  <mergeCells count="3">
    <mergeCell ref="A1:D1"/>
    <mergeCell ref="A7:G7"/>
    <mergeCell ref="A19:F19"/>
  </mergeCells>
  <conditionalFormatting sqref="G9:G17">
    <cfRule type="cellIs" dxfId="8" priority="1" operator="equal">
      <formula>$G$21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8DD8-BE74-4418-9BCC-3CAAFB85CEDC}">
  <dimension ref="A1:B4"/>
  <sheetViews>
    <sheetView tabSelected="1" workbookViewId="0">
      <selection activeCell="B4" sqref="B4"/>
    </sheetView>
  </sheetViews>
  <sheetFormatPr defaultRowHeight="15" x14ac:dyDescent="0.25"/>
  <cols>
    <col min="2" max="2" width="18" customWidth="1"/>
  </cols>
  <sheetData>
    <row r="1" spans="1:2" ht="51" customHeight="1" x14ac:dyDescent="0.25">
      <c r="A1" s="1" t="s">
        <v>0</v>
      </c>
      <c r="B1" s="1"/>
    </row>
    <row r="2" spans="1:2" x14ac:dyDescent="0.25">
      <c r="A2" s="2" t="s">
        <v>1</v>
      </c>
      <c r="B2" s="2">
        <f>Выручка!F13</f>
        <v>51837.5</v>
      </c>
    </row>
    <row r="3" spans="1:2" x14ac:dyDescent="0.25">
      <c r="A3" s="2" t="s">
        <v>2</v>
      </c>
      <c r="B3" s="2">
        <f>Расходы!C8</f>
        <v>27500</v>
      </c>
    </row>
    <row r="4" spans="1:2" x14ac:dyDescent="0.25">
      <c r="A4" s="2" t="s">
        <v>3</v>
      </c>
      <c r="B4" s="2">
        <f>B2-B3</f>
        <v>24337.5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2C4A-60D6-47FC-B1C8-82EC4A37DD37}">
  <dimension ref="A1:F13"/>
  <sheetViews>
    <sheetView workbookViewId="0">
      <selection activeCell="F13" sqref="F13"/>
    </sheetView>
  </sheetViews>
  <sheetFormatPr defaultRowHeight="15" x14ac:dyDescent="0.25"/>
  <cols>
    <col min="1" max="1" width="3.140625" bestFit="1" customWidth="1"/>
    <col min="2" max="2" width="11.42578125" bestFit="1" customWidth="1"/>
    <col min="3" max="3" width="16.42578125" bestFit="1" customWidth="1"/>
    <col min="4" max="5" width="14.140625" bestFit="1" customWidth="1"/>
    <col min="6" max="6" width="7.42578125" bestFit="1" customWidth="1"/>
  </cols>
  <sheetData>
    <row r="1" spans="1:6" x14ac:dyDescent="0.25">
      <c r="A1" s="12" t="s">
        <v>32</v>
      </c>
      <c r="B1" s="13"/>
      <c r="C1" s="13"/>
      <c r="D1" s="14"/>
      <c r="E1" s="2" t="s">
        <v>33</v>
      </c>
      <c r="F1" s="15">
        <v>14.5</v>
      </c>
    </row>
    <row r="2" spans="1:6" x14ac:dyDescent="0.25">
      <c r="A2" s="2" t="s">
        <v>13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</row>
    <row r="3" spans="1:6" x14ac:dyDescent="0.25">
      <c r="A3" s="2">
        <v>1</v>
      </c>
      <c r="B3" s="2" t="s">
        <v>39</v>
      </c>
      <c r="C3" s="16">
        <v>1</v>
      </c>
      <c r="D3" s="2">
        <f>C3*$F$1</f>
        <v>14.5</v>
      </c>
      <c r="E3" s="17">
        <v>5</v>
      </c>
      <c r="F3" s="2">
        <f>D3*E3</f>
        <v>72.5</v>
      </c>
    </row>
    <row r="4" spans="1:6" x14ac:dyDescent="0.25">
      <c r="A4" s="2">
        <v>2</v>
      </c>
      <c r="B4" s="2" t="s">
        <v>40</v>
      </c>
      <c r="C4" s="16">
        <v>3</v>
      </c>
      <c r="D4" s="2">
        <f t="shared" ref="D4:D12" si="0">C4*$F$1</f>
        <v>43.5</v>
      </c>
      <c r="E4" s="17">
        <v>10</v>
      </c>
      <c r="F4" s="2">
        <f t="shared" ref="F4:F12" si="1">D4*E4</f>
        <v>435</v>
      </c>
    </row>
    <row r="5" spans="1:6" x14ac:dyDescent="0.25">
      <c r="A5" s="2">
        <v>3</v>
      </c>
      <c r="B5" s="2" t="s">
        <v>41</v>
      </c>
      <c r="C5" s="16">
        <v>5</v>
      </c>
      <c r="D5" s="2">
        <f t="shared" si="0"/>
        <v>72.5</v>
      </c>
      <c r="E5" s="17">
        <v>15</v>
      </c>
      <c r="F5" s="2">
        <f t="shared" si="1"/>
        <v>1087.5</v>
      </c>
    </row>
    <row r="6" spans="1:6" x14ac:dyDescent="0.25">
      <c r="A6" s="2">
        <v>4</v>
      </c>
      <c r="B6" s="2" t="s">
        <v>42</v>
      </c>
      <c r="C6" s="16">
        <v>7</v>
      </c>
      <c r="D6" s="2">
        <f t="shared" si="0"/>
        <v>101.5</v>
      </c>
      <c r="E6" s="17">
        <v>20</v>
      </c>
      <c r="F6" s="2">
        <f t="shared" si="1"/>
        <v>2030</v>
      </c>
    </row>
    <row r="7" spans="1:6" x14ac:dyDescent="0.25">
      <c r="A7" s="2">
        <v>5</v>
      </c>
      <c r="B7" s="2" t="s">
        <v>43</v>
      </c>
      <c r="C7" s="16">
        <v>9</v>
      </c>
      <c r="D7" s="2">
        <f t="shared" si="0"/>
        <v>130.5</v>
      </c>
      <c r="E7" s="17">
        <v>25</v>
      </c>
      <c r="F7" s="2">
        <f t="shared" si="1"/>
        <v>3262.5</v>
      </c>
    </row>
    <row r="8" spans="1:6" x14ac:dyDescent="0.25">
      <c r="A8" s="2">
        <v>6</v>
      </c>
      <c r="B8" s="2" t="s">
        <v>44</v>
      </c>
      <c r="C8" s="16">
        <v>11</v>
      </c>
      <c r="D8" s="2">
        <f t="shared" si="0"/>
        <v>159.5</v>
      </c>
      <c r="E8" s="17">
        <v>30</v>
      </c>
      <c r="F8" s="2">
        <f t="shared" si="1"/>
        <v>4785</v>
      </c>
    </row>
    <row r="9" spans="1:6" x14ac:dyDescent="0.25">
      <c r="A9" s="2">
        <v>7</v>
      </c>
      <c r="B9" s="2" t="s">
        <v>45</v>
      </c>
      <c r="C9" s="16">
        <v>13</v>
      </c>
      <c r="D9" s="2">
        <f t="shared" si="0"/>
        <v>188.5</v>
      </c>
      <c r="E9" s="17">
        <v>35</v>
      </c>
      <c r="F9" s="2">
        <f t="shared" si="1"/>
        <v>6597.5</v>
      </c>
    </row>
    <row r="10" spans="1:6" x14ac:dyDescent="0.25">
      <c r="A10" s="2">
        <v>8</v>
      </c>
      <c r="B10" s="2" t="s">
        <v>46</v>
      </c>
      <c r="C10" s="16">
        <v>15</v>
      </c>
      <c r="D10" s="2">
        <f t="shared" si="0"/>
        <v>217.5</v>
      </c>
      <c r="E10" s="17">
        <v>40</v>
      </c>
      <c r="F10" s="2">
        <f t="shared" si="1"/>
        <v>8700</v>
      </c>
    </row>
    <row r="11" spans="1:6" x14ac:dyDescent="0.25">
      <c r="A11" s="2">
        <v>9</v>
      </c>
      <c r="B11" s="2" t="s">
        <v>47</v>
      </c>
      <c r="C11" s="16">
        <v>17</v>
      </c>
      <c r="D11" s="2">
        <f t="shared" si="0"/>
        <v>246.5</v>
      </c>
      <c r="E11" s="17">
        <v>45</v>
      </c>
      <c r="F11" s="2">
        <f t="shared" si="1"/>
        <v>11092.5</v>
      </c>
    </row>
    <row r="12" spans="1:6" x14ac:dyDescent="0.25">
      <c r="A12" s="2">
        <v>10</v>
      </c>
      <c r="B12" s="2" t="s">
        <v>48</v>
      </c>
      <c r="C12" s="16">
        <v>19</v>
      </c>
      <c r="D12" s="2">
        <f t="shared" si="0"/>
        <v>275.5</v>
      </c>
      <c r="E12" s="17">
        <v>50</v>
      </c>
      <c r="F12" s="2">
        <f t="shared" si="1"/>
        <v>13775</v>
      </c>
    </row>
    <row r="13" spans="1:6" x14ac:dyDescent="0.25">
      <c r="A13" s="11" t="s">
        <v>29</v>
      </c>
      <c r="B13" s="11"/>
      <c r="C13" s="11"/>
      <c r="D13" s="11"/>
      <c r="E13" s="11"/>
      <c r="F13" s="2">
        <f>SUM(F3:F12)</f>
        <v>51837.5</v>
      </c>
    </row>
  </sheetData>
  <mergeCells count="2">
    <mergeCell ref="A1:D1"/>
    <mergeCell ref="A13:E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7B1A-4DAD-40F9-AA37-51C7A063C3D3}">
  <dimension ref="A1:C8"/>
  <sheetViews>
    <sheetView workbookViewId="0">
      <selection activeCell="C7" sqref="C7"/>
    </sheetView>
  </sheetViews>
  <sheetFormatPr defaultRowHeight="15" x14ac:dyDescent="0.25"/>
  <sheetData>
    <row r="1" spans="1:3" x14ac:dyDescent="0.25">
      <c r="A1" s="9" t="s">
        <v>49</v>
      </c>
      <c r="B1" s="9"/>
      <c r="C1" s="9"/>
    </row>
    <row r="2" spans="1:3" x14ac:dyDescent="0.25">
      <c r="A2" s="2" t="s">
        <v>13</v>
      </c>
      <c r="B2" s="2" t="s">
        <v>50</v>
      </c>
      <c r="C2" s="2" t="s">
        <v>51</v>
      </c>
    </row>
    <row r="3" spans="1:3" x14ac:dyDescent="0.25">
      <c r="A3" s="2">
        <v>1</v>
      </c>
      <c r="B3" s="2" t="s">
        <v>19</v>
      </c>
      <c r="C3" s="2">
        <v>2500</v>
      </c>
    </row>
    <row r="4" spans="1:3" x14ac:dyDescent="0.25">
      <c r="A4" s="2">
        <v>2</v>
      </c>
      <c r="B4" s="2" t="s">
        <v>52</v>
      </c>
      <c r="C4" s="2">
        <v>4000</v>
      </c>
    </row>
    <row r="5" spans="1:3" x14ac:dyDescent="0.25">
      <c r="A5" s="2">
        <v>3</v>
      </c>
      <c r="B5" s="2" t="s">
        <v>53</v>
      </c>
      <c r="C5" s="2">
        <v>5500</v>
      </c>
    </row>
    <row r="6" spans="1:3" x14ac:dyDescent="0.25">
      <c r="A6" s="2">
        <v>4</v>
      </c>
      <c r="B6" s="2" t="s">
        <v>54</v>
      </c>
      <c r="C6" s="2">
        <v>7000</v>
      </c>
    </row>
    <row r="7" spans="1:3" x14ac:dyDescent="0.25">
      <c r="A7" s="2">
        <v>5</v>
      </c>
      <c r="B7" s="2" t="s">
        <v>55</v>
      </c>
      <c r="C7" s="2">
        <v>8500</v>
      </c>
    </row>
    <row r="8" spans="1:3" x14ac:dyDescent="0.25">
      <c r="A8" s="9" t="s">
        <v>29</v>
      </c>
      <c r="B8" s="9"/>
      <c r="C8" s="2">
        <f>SUM(C3:C7)</f>
        <v>27500</v>
      </c>
    </row>
  </sheetData>
  <mergeCells count="2">
    <mergeCell ref="A1:C1"/>
    <mergeCell ref="A8:B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A451-4BC1-4272-815E-37901A1B4C28}">
  <dimension ref="A1:G17"/>
  <sheetViews>
    <sheetView workbookViewId="0">
      <selection activeCell="F12" sqref="F12"/>
    </sheetView>
  </sheetViews>
  <sheetFormatPr defaultRowHeight="15" x14ac:dyDescent="0.25"/>
  <sheetData>
    <row r="1" spans="1:7" x14ac:dyDescent="0.25">
      <c r="A1" s="18" t="s">
        <v>56</v>
      </c>
      <c r="B1" s="18"/>
      <c r="C1" s="18"/>
      <c r="D1" s="18"/>
      <c r="E1" s="18"/>
      <c r="F1" s="18"/>
      <c r="G1" s="18"/>
    </row>
    <row r="2" spans="1:7" ht="90" x14ac:dyDescent="0.25">
      <c r="A2" s="19" t="s">
        <v>57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</row>
    <row r="3" spans="1:7" x14ac:dyDescent="0.25">
      <c r="A3" s="2" t="s">
        <v>64</v>
      </c>
      <c r="B3" s="2" t="s">
        <v>65</v>
      </c>
      <c r="C3" s="20">
        <v>41783</v>
      </c>
      <c r="D3" s="2">
        <v>12</v>
      </c>
      <c r="E3" s="2">
        <v>12</v>
      </c>
      <c r="F3" s="2">
        <v>3100</v>
      </c>
      <c r="G3" s="2">
        <f>F3*D3</f>
        <v>37200</v>
      </c>
    </row>
    <row r="4" spans="1:7" x14ac:dyDescent="0.25">
      <c r="A4" s="2" t="s">
        <v>66</v>
      </c>
      <c r="B4" s="2" t="s">
        <v>67</v>
      </c>
      <c r="C4" s="20">
        <v>41797</v>
      </c>
      <c r="D4" s="2">
        <v>5</v>
      </c>
      <c r="E4" s="2">
        <v>5</v>
      </c>
      <c r="F4" s="2">
        <v>4200</v>
      </c>
      <c r="G4" s="2">
        <f t="shared" ref="G4:G17" si="0">F4*D4</f>
        <v>21000</v>
      </c>
    </row>
    <row r="5" spans="1:7" x14ac:dyDescent="0.25">
      <c r="A5" s="2" t="s">
        <v>68</v>
      </c>
      <c r="B5" s="2" t="s">
        <v>69</v>
      </c>
      <c r="C5" s="20">
        <v>41755</v>
      </c>
      <c r="D5" s="2">
        <v>10</v>
      </c>
      <c r="E5" s="2">
        <v>10</v>
      </c>
      <c r="F5" s="2">
        <v>600</v>
      </c>
      <c r="G5" s="2">
        <f t="shared" si="0"/>
        <v>6000</v>
      </c>
    </row>
    <row r="6" spans="1:7" x14ac:dyDescent="0.25">
      <c r="A6" s="2" t="s">
        <v>70</v>
      </c>
      <c r="B6" s="2" t="s">
        <v>69</v>
      </c>
      <c r="C6" s="20">
        <v>41770</v>
      </c>
      <c r="D6" s="2">
        <v>15</v>
      </c>
      <c r="E6" s="2">
        <v>18</v>
      </c>
      <c r="F6" s="2">
        <v>600</v>
      </c>
      <c r="G6" s="2">
        <f t="shared" si="0"/>
        <v>9000</v>
      </c>
    </row>
    <row r="7" spans="1:7" x14ac:dyDescent="0.25">
      <c r="A7" s="2" t="s">
        <v>68</v>
      </c>
      <c r="B7" s="2" t="s">
        <v>65</v>
      </c>
      <c r="C7" s="20">
        <v>41739</v>
      </c>
      <c r="D7" s="2">
        <v>18</v>
      </c>
      <c r="E7" s="2">
        <v>16</v>
      </c>
      <c r="F7" s="2">
        <v>3100</v>
      </c>
      <c r="G7" s="2">
        <f t="shared" si="0"/>
        <v>55800</v>
      </c>
    </row>
    <row r="8" spans="1:7" x14ac:dyDescent="0.25">
      <c r="A8" s="2" t="s">
        <v>70</v>
      </c>
      <c r="B8" s="2" t="s">
        <v>71</v>
      </c>
      <c r="C8" s="20">
        <v>41818</v>
      </c>
      <c r="D8" s="2">
        <v>8</v>
      </c>
      <c r="E8" s="2">
        <v>10</v>
      </c>
      <c r="F8" s="2">
        <v>2100</v>
      </c>
      <c r="G8" s="2">
        <f t="shared" si="0"/>
        <v>16800</v>
      </c>
    </row>
    <row r="9" spans="1:7" x14ac:dyDescent="0.25">
      <c r="A9" s="2" t="s">
        <v>66</v>
      </c>
      <c r="B9" s="2" t="s">
        <v>72</v>
      </c>
      <c r="C9" s="21">
        <v>41819</v>
      </c>
      <c r="D9" s="2">
        <v>10</v>
      </c>
      <c r="E9" s="2">
        <v>12</v>
      </c>
      <c r="F9" s="2">
        <v>2300</v>
      </c>
      <c r="G9" s="2">
        <f t="shared" si="0"/>
        <v>23000</v>
      </c>
    </row>
    <row r="10" spans="1:7" x14ac:dyDescent="0.25">
      <c r="A10" s="2" t="s">
        <v>68</v>
      </c>
      <c r="B10" s="2" t="s">
        <v>73</v>
      </c>
      <c r="C10" s="21">
        <v>41762</v>
      </c>
      <c r="D10" s="2">
        <v>15</v>
      </c>
      <c r="E10" s="2">
        <v>15</v>
      </c>
      <c r="F10" s="2">
        <v>1200</v>
      </c>
      <c r="G10" s="2">
        <f t="shared" si="0"/>
        <v>18000</v>
      </c>
    </row>
    <row r="11" spans="1:7" x14ac:dyDescent="0.25">
      <c r="A11" s="2" t="s">
        <v>64</v>
      </c>
      <c r="B11" s="2" t="s">
        <v>71</v>
      </c>
      <c r="C11" s="21">
        <v>41775</v>
      </c>
      <c r="D11" s="2">
        <v>24</v>
      </c>
      <c r="E11" s="2">
        <v>24</v>
      </c>
      <c r="F11" s="22">
        <v>2100</v>
      </c>
      <c r="G11" s="2">
        <f t="shared" si="0"/>
        <v>50400</v>
      </c>
    </row>
    <row r="12" spans="1:7" x14ac:dyDescent="0.25">
      <c r="A12" s="2" t="s">
        <v>68</v>
      </c>
      <c r="B12" s="2" t="s">
        <v>72</v>
      </c>
      <c r="C12" s="21">
        <v>41786</v>
      </c>
      <c r="D12" s="2">
        <v>16</v>
      </c>
      <c r="E12" s="2">
        <v>20</v>
      </c>
      <c r="F12" s="2">
        <v>2300</v>
      </c>
      <c r="G12" s="2">
        <f t="shared" si="0"/>
        <v>36800</v>
      </c>
    </row>
    <row r="13" spans="1:7" x14ac:dyDescent="0.25">
      <c r="A13" s="2" t="s">
        <v>70</v>
      </c>
      <c r="B13" s="2" t="s">
        <v>65</v>
      </c>
      <c r="C13" s="21">
        <v>41735</v>
      </c>
      <c r="D13" s="2">
        <v>10</v>
      </c>
      <c r="E13" s="2">
        <v>10</v>
      </c>
      <c r="F13" s="2">
        <v>3100</v>
      </c>
      <c r="G13" s="2">
        <f t="shared" si="0"/>
        <v>31000</v>
      </c>
    </row>
    <row r="14" spans="1:7" x14ac:dyDescent="0.25">
      <c r="A14" s="2" t="s">
        <v>68</v>
      </c>
      <c r="B14" s="2" t="s">
        <v>74</v>
      </c>
      <c r="C14" s="21">
        <v>41788</v>
      </c>
      <c r="D14" s="2">
        <v>8</v>
      </c>
      <c r="E14" s="2">
        <v>8</v>
      </c>
      <c r="F14" s="2">
        <v>900</v>
      </c>
      <c r="G14" s="2">
        <f t="shared" si="0"/>
        <v>7200</v>
      </c>
    </row>
    <row r="15" spans="1:7" x14ac:dyDescent="0.25">
      <c r="A15" s="2" t="s">
        <v>66</v>
      </c>
      <c r="B15" s="2" t="s">
        <v>74</v>
      </c>
      <c r="C15" s="21">
        <v>41776</v>
      </c>
      <c r="D15" s="2">
        <v>12</v>
      </c>
      <c r="E15" s="2">
        <v>10</v>
      </c>
      <c r="F15" s="2">
        <v>1200</v>
      </c>
      <c r="G15" s="2">
        <f t="shared" si="0"/>
        <v>14400</v>
      </c>
    </row>
    <row r="16" spans="1:7" x14ac:dyDescent="0.25">
      <c r="A16" s="2" t="s">
        <v>68</v>
      </c>
      <c r="B16" s="2" t="s">
        <v>67</v>
      </c>
      <c r="C16" s="21">
        <v>41793</v>
      </c>
      <c r="D16" s="2">
        <v>22</v>
      </c>
      <c r="E16" s="2">
        <v>20</v>
      </c>
      <c r="F16" s="2">
        <v>4200</v>
      </c>
      <c r="G16" s="2">
        <f t="shared" si="0"/>
        <v>92400</v>
      </c>
    </row>
    <row r="17" spans="1:7" x14ac:dyDescent="0.25">
      <c r="A17" s="2" t="s">
        <v>64</v>
      </c>
      <c r="B17" s="2" t="s">
        <v>75</v>
      </c>
      <c r="C17" s="21">
        <v>41751</v>
      </c>
      <c r="D17" s="2">
        <v>10</v>
      </c>
      <c r="E17" s="2">
        <v>8</v>
      </c>
      <c r="F17" s="2">
        <v>950</v>
      </c>
      <c r="G17" s="2">
        <f t="shared" si="0"/>
        <v>9500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Итоги за квартал</vt:lpstr>
      <vt:lpstr>ЗП декабрь</vt:lpstr>
      <vt:lpstr>Расчет </vt:lpstr>
      <vt:lpstr>Ведомость</vt:lpstr>
      <vt:lpstr>Формулы</vt:lpstr>
      <vt:lpstr>ЗП октябрь</vt:lpstr>
      <vt:lpstr>ЗП ноябрь</vt:lpstr>
      <vt:lpstr>Оклад</vt:lpstr>
      <vt:lpstr>Итоги</vt:lpstr>
      <vt:lpstr>Выручка</vt:lpstr>
      <vt:lpstr>Расходы</vt:lpstr>
      <vt:lpstr>Учет заказов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2015-06-05T18:19:34Z</dcterms:created>
  <dcterms:modified xsi:type="dcterms:W3CDTF">2026-04-11T08:07:08Z</dcterms:modified>
</cp:coreProperties>
</file>