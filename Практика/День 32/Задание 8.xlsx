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2\"/>
    </mc:Choice>
  </mc:AlternateContent>
  <xr:revisionPtr revIDLastSave="0" documentId="13_ncr:1_{D9D2F146-FB17-4ED1-A677-D4437CF6B227}" xr6:coauthVersionLast="47" xr6:coauthVersionMax="47" xr10:uidLastSave="{00000000-0000-0000-0000-000000000000}"/>
  <bookViews>
    <workbookView xWindow="3645" yWindow="4755" windowWidth="21600" windowHeight="11205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H11" i="1" s="1"/>
  <c r="I11" i="1" s="1"/>
  <c r="F11" i="1"/>
  <c r="G10" i="1"/>
  <c r="H10" i="1" s="1"/>
  <c r="I10" i="1" s="1"/>
  <c r="F10" i="1"/>
  <c r="G9" i="1"/>
  <c r="H9" i="1" s="1"/>
  <c r="I9" i="1" s="1"/>
  <c r="F9" i="1"/>
  <c r="G8" i="1"/>
  <c r="H8" i="1" s="1"/>
  <c r="I8" i="1" s="1"/>
  <c r="F8" i="1"/>
  <c r="G7" i="1"/>
  <c r="H7" i="1" s="1"/>
  <c r="I7" i="1" s="1"/>
  <c r="F7" i="1"/>
  <c r="G6" i="1"/>
  <c r="H6" i="1" s="1"/>
  <c r="I6" i="1" s="1"/>
  <c r="F6" i="1"/>
  <c r="G5" i="1"/>
  <c r="H5" i="1" s="1"/>
  <c r="I5" i="1" s="1"/>
  <c r="F5" i="1"/>
  <c r="H4" i="1"/>
  <c r="I4" i="1" s="1"/>
  <c r="G4" i="1"/>
  <c r="F4" i="1"/>
  <c r="G3" i="1"/>
  <c r="H3" i="1" s="1"/>
  <c r="I3" i="1" s="1"/>
  <c r="C15" i="1" s="1"/>
  <c r="F3" i="1"/>
  <c r="G2" i="1"/>
  <c r="H2" i="1" s="1"/>
  <c r="I2" i="1" s="1"/>
  <c r="F2" i="1"/>
  <c r="C16" i="1" l="1"/>
  <c r="I15" i="1"/>
  <c r="I16" i="1"/>
  <c r="I14" i="1"/>
  <c r="I13" i="1"/>
  <c r="C14" i="1"/>
  <c r="I17" i="1"/>
</calcChain>
</file>

<file path=xl/sharedStrings.xml><?xml version="1.0" encoding="utf-8"?>
<sst xmlns="http://schemas.openxmlformats.org/spreadsheetml/2006/main" count="39" uniqueCount="27">
  <si>
    <t>ФИО</t>
  </si>
  <si>
    <t>Дата рождения</t>
  </si>
  <si>
    <t>Дата Поступления</t>
  </si>
  <si>
    <t>Должность</t>
  </si>
  <si>
    <t>Оклад</t>
  </si>
  <si>
    <t>Возраст</t>
  </si>
  <si>
    <t>Стаж</t>
  </si>
  <si>
    <t>Надбавка</t>
  </si>
  <si>
    <t>Оплата Труда</t>
  </si>
  <si>
    <t>КИО</t>
  </si>
  <si>
    <t>Программист</t>
  </si>
  <si>
    <t>КДИ</t>
  </si>
  <si>
    <t>Бухгалтер</t>
  </si>
  <si>
    <t>КАИ</t>
  </si>
  <si>
    <t>Уборщик</t>
  </si>
  <si>
    <t>ГАИ</t>
  </si>
  <si>
    <t>ГИР</t>
  </si>
  <si>
    <t>РОГ</t>
  </si>
  <si>
    <t>БИЛ</t>
  </si>
  <si>
    <t>МАХ</t>
  </si>
  <si>
    <t>ЛОР</t>
  </si>
  <si>
    <t>РОМ</t>
  </si>
  <si>
    <t>Средняя оплата</t>
  </si>
  <si>
    <t>Общая оплата</t>
  </si>
  <si>
    <t>Меньше Средн.</t>
  </si>
  <si>
    <t>Минимум</t>
  </si>
  <si>
    <t>Максимум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</si>
</sst>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" fontId="0" fillId="0" borderId="5" xfId="0" applyNumberFormat="1" applyBorder="1"/>
    <xf numFmtId="164" fontId="0" fillId="0" borderId="5" xfId="0" applyNumberFormat="1" applyBorder="1"/>
    <xf numFmtId="0" fontId="0" fillId="0" borderId="6" xfId="0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[1]Лист1!$C$13</c:f>
              <c:strCache>
                <c:ptCount val="1"/>
                <c:pt idx="0">
                  <c:v>Средняя оплата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CE-43FF-A9B3-CBFA02F97E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CE-43FF-A9B3-CBFA02F97E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CE-43FF-A9B3-CBFA02F97ED0}"/>
              </c:ext>
            </c:extLst>
          </c:dPt>
          <c:cat>
            <c:strRef>
              <c:f>[1]Лист1!$B$14:$B$16</c:f>
              <c:strCache>
                <c:ptCount val="3"/>
                <c:pt idx="0">
                  <c:v>Программист</c:v>
                </c:pt>
                <c:pt idx="1">
                  <c:v>Бухгалтер</c:v>
                </c:pt>
                <c:pt idx="2">
                  <c:v>Уборщик</c:v>
                </c:pt>
              </c:strCache>
            </c:strRef>
          </c:cat>
          <c:val>
            <c:numRef>
              <c:f>[1]Лист1!$C$14:$C$16</c:f>
              <c:numCache>
                <c:formatCode>General</c:formatCode>
                <c:ptCount val="3"/>
                <c:pt idx="0">
                  <c:v>1150</c:v>
                </c:pt>
                <c:pt idx="1">
                  <c:v>1020</c:v>
                </c:pt>
                <c:pt idx="2">
                  <c:v>562.5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CE-43FF-A9B3-CBFA02F97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16</xdr:row>
      <xdr:rowOff>119062</xdr:rowOff>
    </xdr:from>
    <xdr:to>
      <xdr:col>5</xdr:col>
      <xdr:colOff>428625</xdr:colOff>
      <xdr:row>30</xdr:row>
      <xdr:rowOff>185737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DDC7BC3-E71A-4C20-A1CE-AA180B5DE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91;&#1089;&#1086;&#1088;/&#1047;&#1072;&#1076;&#1072;&#1085;&#1080;&#1077;&#1087;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3">
          <cell r="C13" t="str">
            <v>Средняя оплата</v>
          </cell>
        </row>
        <row r="14">
          <cell r="B14" t="str">
            <v>Программист</v>
          </cell>
          <cell r="C14">
            <v>1150</v>
          </cell>
        </row>
        <row r="15">
          <cell r="B15" t="str">
            <v>Бухгалтер</v>
          </cell>
          <cell r="C15">
            <v>1020</v>
          </cell>
        </row>
        <row r="16">
          <cell r="B16" t="str">
            <v>Уборщик</v>
          </cell>
          <cell r="C16">
            <v>562.5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M9" sqref="M9"/>
    </sheetView>
  </sheetViews>
  <sheetFormatPr defaultRowHeight="15" x14ac:dyDescent="0.25"/>
  <cols>
    <col min="2" max="2" width="18.28515625" customWidth="1"/>
    <col min="3" max="3" width="18.140625" customWidth="1"/>
    <col min="4" max="4" width="18.28515625" customWidth="1"/>
    <col min="6" max="7" width="10.140625" bestFit="1" customWidth="1"/>
    <col min="8" max="9" width="14.85546875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3" t="s">
        <v>8</v>
      </c>
    </row>
    <row r="2" spans="1:9" x14ac:dyDescent="0.25">
      <c r="A2" s="5" t="s">
        <v>9</v>
      </c>
      <c r="B2" s="6">
        <v>35929</v>
      </c>
      <c r="C2" s="6">
        <v>42075</v>
      </c>
      <c r="D2" s="5" t="s">
        <v>10</v>
      </c>
      <c r="E2" s="5">
        <v>1000</v>
      </c>
      <c r="F2" s="7">
        <f ca="1">(TODAY()-B2)/365</f>
        <v>27.92876712328767</v>
      </c>
      <c r="G2" s="8">
        <f ca="1">(TODAY()-C2)/365</f>
        <v>11.09041095890411</v>
      </c>
      <c r="H2" s="5">
        <f ca="1">IF(G2&lt;5,0.1,IF(G2&lt;10,0.15,0.2))</f>
        <v>0.2</v>
      </c>
      <c r="I2" s="5">
        <f ca="1">E2+E2*H2</f>
        <v>1200</v>
      </c>
    </row>
    <row r="3" spans="1:9" x14ac:dyDescent="0.25">
      <c r="A3" s="9" t="s">
        <v>11</v>
      </c>
      <c r="B3" s="10">
        <v>36121</v>
      </c>
      <c r="C3" s="10">
        <v>42679</v>
      </c>
      <c r="D3" s="9" t="s">
        <v>12</v>
      </c>
      <c r="E3" s="9">
        <v>900</v>
      </c>
      <c r="F3" s="7">
        <f t="shared" ref="F3:G11" ca="1" si="0">(TODAY()-B3)/365</f>
        <v>27.402739726027399</v>
      </c>
      <c r="G3" s="8">
        <f t="shared" ca="1" si="0"/>
        <v>9.4356164383561651</v>
      </c>
      <c r="H3" s="5">
        <f t="shared" ref="H3:H11" ca="1" si="1">IF(G3&lt;5,0.1,IF(G3&lt;10,0.15,0.2))</f>
        <v>0.15</v>
      </c>
      <c r="I3" s="5">
        <f t="shared" ref="I3:I11" ca="1" si="2">E3+E3*H3</f>
        <v>1035</v>
      </c>
    </row>
    <row r="4" spans="1:9" x14ac:dyDescent="0.25">
      <c r="A4" s="9" t="s">
        <v>13</v>
      </c>
      <c r="B4" s="10">
        <v>36194</v>
      </c>
      <c r="C4" s="10">
        <v>42971</v>
      </c>
      <c r="D4" s="9" t="s">
        <v>14</v>
      </c>
      <c r="E4" s="9">
        <v>500</v>
      </c>
      <c r="F4" s="7">
        <f t="shared" ca="1" si="0"/>
        <v>27.202739726027396</v>
      </c>
      <c r="G4" s="8">
        <f t="shared" ca="1" si="0"/>
        <v>8.6356164383561644</v>
      </c>
      <c r="H4" s="5">
        <f t="shared" ca="1" si="1"/>
        <v>0.15</v>
      </c>
      <c r="I4" s="5">
        <f t="shared" ca="1" si="2"/>
        <v>575</v>
      </c>
    </row>
    <row r="5" spans="1:9" x14ac:dyDescent="0.25">
      <c r="A5" s="9" t="s">
        <v>15</v>
      </c>
      <c r="B5" s="10">
        <v>36768</v>
      </c>
      <c r="C5" s="10">
        <v>43495</v>
      </c>
      <c r="D5" s="5" t="s">
        <v>10</v>
      </c>
      <c r="E5" s="5">
        <v>1000</v>
      </c>
      <c r="F5" s="7">
        <f t="shared" ca="1" si="0"/>
        <v>25.63013698630137</v>
      </c>
      <c r="G5" s="8">
        <f t="shared" ca="1" si="0"/>
        <v>7.2</v>
      </c>
      <c r="H5" s="5">
        <f t="shared" ca="1" si="1"/>
        <v>0.15</v>
      </c>
      <c r="I5" s="5">
        <f t="shared" ca="1" si="2"/>
        <v>1150</v>
      </c>
    </row>
    <row r="6" spans="1:9" x14ac:dyDescent="0.25">
      <c r="A6" s="9" t="s">
        <v>16</v>
      </c>
      <c r="B6" s="10">
        <v>36902</v>
      </c>
      <c r="C6" s="10">
        <v>44026</v>
      </c>
      <c r="D6" s="9" t="s">
        <v>12</v>
      </c>
      <c r="E6" s="9">
        <v>900</v>
      </c>
      <c r="F6" s="7">
        <f t="shared" ca="1" si="0"/>
        <v>25.263013698630136</v>
      </c>
      <c r="G6" s="8">
        <f t="shared" ca="1" si="0"/>
        <v>5.7452054794520544</v>
      </c>
      <c r="H6" s="5">
        <f t="shared" ca="1" si="1"/>
        <v>0.15</v>
      </c>
      <c r="I6" s="5">
        <f t="shared" ca="1" si="2"/>
        <v>1035</v>
      </c>
    </row>
    <row r="7" spans="1:9" x14ac:dyDescent="0.25">
      <c r="A7" s="9" t="s">
        <v>17</v>
      </c>
      <c r="B7" s="10">
        <v>37434</v>
      </c>
      <c r="C7" s="10">
        <v>44235</v>
      </c>
      <c r="D7" s="9" t="s">
        <v>14</v>
      </c>
      <c r="E7" s="9">
        <v>500</v>
      </c>
      <c r="F7" s="7">
        <f t="shared" ca="1" si="0"/>
        <v>23.805479452054794</v>
      </c>
      <c r="G7" s="8">
        <f t="shared" ca="1" si="0"/>
        <v>5.1726027397260275</v>
      </c>
      <c r="H7" s="5">
        <f t="shared" ca="1" si="1"/>
        <v>0.15</v>
      </c>
      <c r="I7" s="5">
        <f t="shared" ca="1" si="2"/>
        <v>575</v>
      </c>
    </row>
    <row r="8" spans="1:9" x14ac:dyDescent="0.25">
      <c r="A8" s="9" t="s">
        <v>18</v>
      </c>
      <c r="B8" s="10">
        <v>37879</v>
      </c>
      <c r="C8" s="10">
        <v>44734</v>
      </c>
      <c r="D8" s="5" t="s">
        <v>10</v>
      </c>
      <c r="E8" s="5">
        <v>1000</v>
      </c>
      <c r="F8" s="7">
        <f t="shared" ca="1" si="0"/>
        <v>22.586301369863012</v>
      </c>
      <c r="G8" s="8">
        <f t="shared" ca="1" si="0"/>
        <v>3.8054794520547945</v>
      </c>
      <c r="H8" s="5">
        <f t="shared" ca="1" si="1"/>
        <v>0.1</v>
      </c>
      <c r="I8" s="5">
        <f t="shared" ca="1" si="2"/>
        <v>1100</v>
      </c>
    </row>
    <row r="9" spans="1:9" x14ac:dyDescent="0.25">
      <c r="A9" s="9" t="s">
        <v>19</v>
      </c>
      <c r="B9" s="10">
        <v>37960</v>
      </c>
      <c r="C9" s="10">
        <v>45188</v>
      </c>
      <c r="D9" s="9" t="s">
        <v>12</v>
      </c>
      <c r="E9" s="9">
        <v>900</v>
      </c>
      <c r="F9" s="7">
        <f t="shared" ca="1" si="0"/>
        <v>22.364383561643837</v>
      </c>
      <c r="G9" s="8">
        <f t="shared" ca="1" si="0"/>
        <v>2.5616438356164384</v>
      </c>
      <c r="H9" s="5">
        <f t="shared" ca="1" si="1"/>
        <v>0.1</v>
      </c>
      <c r="I9" s="5">
        <f t="shared" ca="1" si="2"/>
        <v>990</v>
      </c>
    </row>
    <row r="10" spans="1:9" x14ac:dyDescent="0.25">
      <c r="A10" s="9" t="s">
        <v>20</v>
      </c>
      <c r="B10" s="10">
        <v>38096</v>
      </c>
      <c r="C10" s="10">
        <v>45415</v>
      </c>
      <c r="D10" s="9" t="s">
        <v>14</v>
      </c>
      <c r="E10" s="9">
        <v>500</v>
      </c>
      <c r="F10" s="7">
        <f t="shared" ca="1" si="0"/>
        <v>21.991780821917807</v>
      </c>
      <c r="G10" s="8">
        <f t="shared" ca="1" si="0"/>
        <v>1.9397260273972603</v>
      </c>
      <c r="H10" s="5">
        <f t="shared" ca="1" si="1"/>
        <v>0.1</v>
      </c>
      <c r="I10" s="5">
        <f t="shared" ca="1" si="2"/>
        <v>550</v>
      </c>
    </row>
    <row r="11" spans="1:9" x14ac:dyDescent="0.25">
      <c r="A11" s="9" t="s">
        <v>21</v>
      </c>
      <c r="B11" s="10">
        <v>38541</v>
      </c>
      <c r="C11" s="10">
        <v>46002</v>
      </c>
      <c r="D11" s="9" t="s">
        <v>14</v>
      </c>
      <c r="E11" s="9">
        <v>500</v>
      </c>
      <c r="F11" s="7">
        <f t="shared" ca="1" si="0"/>
        <v>20.772602739726029</v>
      </c>
      <c r="G11" s="8">
        <f t="shared" ca="1" si="0"/>
        <v>0.33150684931506852</v>
      </c>
      <c r="H11" s="5">
        <f t="shared" ca="1" si="1"/>
        <v>0.1</v>
      </c>
      <c r="I11" s="5">
        <f t="shared" ca="1" si="2"/>
        <v>550</v>
      </c>
    </row>
    <row r="12" spans="1:9" ht="15.75" thickBot="1" x14ac:dyDescent="0.3"/>
    <row r="13" spans="1:9" ht="15.75" thickBot="1" x14ac:dyDescent="0.3">
      <c r="B13" s="1" t="s">
        <v>3</v>
      </c>
      <c r="C13" s="4" t="s">
        <v>22</v>
      </c>
      <c r="H13" s="4" t="s">
        <v>23</v>
      </c>
      <c r="I13" s="3">
        <f ca="1">SUM(I2:I11)</f>
        <v>8760</v>
      </c>
    </row>
    <row r="14" spans="1:9" ht="15.75" thickBot="1" x14ac:dyDescent="0.3">
      <c r="B14" s="11" t="s">
        <v>10</v>
      </c>
      <c r="C14" s="12">
        <f ca="1">AVERAGE(I2,I5,I8)</f>
        <v>1150</v>
      </c>
      <c r="H14" s="4" t="s">
        <v>22</v>
      </c>
      <c r="I14" s="3">
        <f ca="1">AVERAGE(I2:I11)</f>
        <v>876</v>
      </c>
    </row>
    <row r="15" spans="1:9" ht="15.75" thickBot="1" x14ac:dyDescent="0.3">
      <c r="B15" s="13" t="s">
        <v>12</v>
      </c>
      <c r="C15" s="12">
        <f ca="1">AVERAGE(I3,I6,I9)</f>
        <v>1020</v>
      </c>
      <c r="H15" s="4" t="s">
        <v>24</v>
      </c>
      <c r="I15" s="4">
        <f ca="1">COUNTIF(I2:I11, "&lt;" &amp; AVERAGE(I2:I11))</f>
        <v>4</v>
      </c>
    </row>
    <row r="16" spans="1:9" ht="15.75" thickBot="1" x14ac:dyDescent="0.3">
      <c r="B16" s="14" t="s">
        <v>14</v>
      </c>
      <c r="C16" s="15">
        <f ca="1">AVERAGE(I4,I7,I10,I11)</f>
        <v>562.5</v>
      </c>
      <c r="H16" s="4" t="s">
        <v>25</v>
      </c>
      <c r="I16" s="3">
        <f ca="1">MIN(I2:I11)</f>
        <v>550</v>
      </c>
    </row>
    <row r="17" spans="8:9" ht="15.75" thickBot="1" x14ac:dyDescent="0.3">
      <c r="H17" s="4" t="s">
        <v>26</v>
      </c>
      <c r="I17" s="16">
        <f ca="1">MAX(I2:I11)</f>
        <v>1200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2026-04-11T07:47:52Z</dcterms:modified>
</cp:coreProperties>
</file>