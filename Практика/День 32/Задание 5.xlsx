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2\"/>
    </mc:Choice>
  </mc:AlternateContent>
  <xr:revisionPtr revIDLastSave="0" documentId="13_ncr:1_{C54D285E-14B5-4D08-830E-2E04E2E0E3C2}" xr6:coauthVersionLast="47" xr6:coauthVersionMax="47" xr10:uidLastSave="{00000000-0000-0000-0000-000000000000}"/>
  <bookViews>
    <workbookView xWindow="3120" yWindow="3120" windowWidth="21600" windowHeight="11205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F11" i="1" s="1"/>
  <c r="E10" i="1"/>
  <c r="F10" i="1" s="1"/>
  <c r="E9" i="1"/>
  <c r="F9" i="1" s="1"/>
  <c r="E8" i="1"/>
  <c r="F8" i="1" s="1"/>
  <c r="E7" i="1"/>
  <c r="F7" i="1" s="1"/>
  <c r="F6" i="1"/>
  <c r="E6" i="1"/>
  <c r="E5" i="1"/>
  <c r="F5" i="1" s="1"/>
  <c r="E4" i="1"/>
  <c r="F4" i="1" s="1"/>
  <c r="D20" i="1" s="1"/>
  <c r="E3" i="1"/>
  <c r="F3" i="1" s="1"/>
  <c r="D19" i="1" s="1"/>
  <c r="I2" i="1"/>
  <c r="E2" i="1"/>
  <c r="E12" i="1" s="1"/>
  <c r="F2" i="1" l="1"/>
  <c r="D18" i="1" l="1"/>
  <c r="F12" i="1"/>
</calcChain>
</file>

<file path=xl/sharedStrings.xml><?xml version="1.0" encoding="utf-8"?>
<sst xmlns="http://schemas.openxmlformats.org/spreadsheetml/2006/main" count="34" uniqueCount="24">
  <si>
    <t>№ п/п</t>
  </si>
  <si>
    <t>ФИО</t>
  </si>
  <si>
    <t>Дата Рождения</t>
  </si>
  <si>
    <t>Месяц выплаты пособия</t>
  </si>
  <si>
    <t>Возраст</t>
  </si>
  <si>
    <t>сумма пособия</t>
  </si>
  <si>
    <t>КИО</t>
  </si>
  <si>
    <t>апрель</t>
  </si>
  <si>
    <t>старше 8</t>
  </si>
  <si>
    <t>ДАН</t>
  </si>
  <si>
    <t>март</t>
  </si>
  <si>
    <t>БОГ</t>
  </si>
  <si>
    <t>май</t>
  </si>
  <si>
    <t>ЛОХ</t>
  </si>
  <si>
    <t>ЖДУ</t>
  </si>
  <si>
    <t>КОК</t>
  </si>
  <si>
    <t>САС</t>
  </si>
  <si>
    <t>АРК</t>
  </si>
  <si>
    <t>КСГ</t>
  </si>
  <si>
    <t>КСС</t>
  </si>
  <si>
    <t>Дата</t>
  </si>
  <si>
    <t>Мин.Зп</t>
  </si>
  <si>
    <t>Месяц</t>
  </si>
  <si>
    <t>Сумма пособия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</si>
</sst>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Br-423]_-;\-* #,##0.00\ [$Br-423]_-;_-* &quot;-&quot;??\ [$Br-423]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[1]Лист1!$D$17</c:f>
              <c:strCache>
                <c:ptCount val="1"/>
                <c:pt idx="0">
                  <c:v>Сумма пособия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13-45A4-9B37-18B345527A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13-45A4-9B37-18B345527A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B13-45A4-9B37-18B345527AD6}"/>
              </c:ext>
            </c:extLst>
          </c:dPt>
          <c:cat>
            <c:strRef>
              <c:f>[1]Лист1!$C$18:$C$20</c:f>
              <c:strCache>
                <c:ptCount val="3"/>
                <c:pt idx="0">
                  <c:v>апрель</c:v>
                </c:pt>
                <c:pt idx="1">
                  <c:v>март</c:v>
                </c:pt>
                <c:pt idx="2">
                  <c:v>май</c:v>
                </c:pt>
              </c:strCache>
            </c:strRef>
          </c:cat>
          <c:val>
            <c:numRef>
              <c:f>[1]Лист1!$D$18:$D$20</c:f>
              <c:numCache>
                <c:formatCode>General</c:formatCode>
                <c:ptCount val="3"/>
                <c:pt idx="0">
                  <c:v>2574</c:v>
                </c:pt>
                <c:pt idx="1">
                  <c:v>514.79999999999995</c:v>
                </c:pt>
                <c:pt idx="2">
                  <c:v>514.79999999999995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13-45A4-9B37-18B345527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138112</xdr:colOff>
      <xdr:row>13</xdr:row>
      <xdr:rowOff>119062</xdr:rowOff>
    </xdr:from>
    <xdr:to>
      <xdr:col>10</xdr:col>
      <xdr:colOff>461962</xdr:colOff>
      <xdr:row>28</xdr:row>
      <xdr:rowOff>4762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C3130E5-722E-4BF5-AF46-88711BC99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4;&#1091;&#1089;&#1086;&#1088;/&#1047;&#1072;&#1076;&#1072;&#1085;&#1080;&#1077;&#1087;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7">
          <cell r="D17" t="str">
            <v>Сумма пособия</v>
          </cell>
        </row>
        <row r="18">
          <cell r="C18" t="str">
            <v>апрель</v>
          </cell>
          <cell r="D18">
            <v>2574</v>
          </cell>
        </row>
        <row r="19">
          <cell r="C19" t="str">
            <v>март</v>
          </cell>
          <cell r="D19">
            <v>514.79999999999995</v>
          </cell>
        </row>
        <row r="20">
          <cell r="C20" t="str">
            <v>май</v>
          </cell>
          <cell r="D20">
            <v>514.79999999999995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A13" workbookViewId="0">
      <selection activeCell="F2" sqref="F2"/>
    </sheetView>
  </sheetViews>
  <sheetFormatPr defaultRowHeight="15" x14ac:dyDescent="0.25"/>
  <cols>
    <col min="2" max="2" width="10.140625" bestFit="1" customWidth="1"/>
    <col min="3" max="3" width="18.5703125" customWidth="1"/>
    <col min="4" max="4" width="27.7109375" customWidth="1"/>
    <col min="6" max="6" width="18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25">
      <c r="A2" s="2">
        <v>1</v>
      </c>
      <c r="B2" s="2" t="s">
        <v>6</v>
      </c>
      <c r="C2" s="3">
        <v>39926</v>
      </c>
      <c r="D2" s="2" t="s">
        <v>7</v>
      </c>
      <c r="E2" s="4">
        <f>(B14-C2)/365</f>
        <v>16.901369863013699</v>
      </c>
      <c r="F2" s="2">
        <f>IF(E2&lt;3,1*B15,IF(E2&lt; 8, 0.8*B15, IF(E2&lt; 17, 0.6*B15, 0) ))</f>
        <v>514.79999999999995</v>
      </c>
      <c r="H2" s="2" t="s">
        <v>8</v>
      </c>
      <c r="I2" s="2">
        <f>COUNTIF(E2:E11, "&gt;8")</f>
        <v>10</v>
      </c>
    </row>
    <row r="3" spans="1:9" x14ac:dyDescent="0.25">
      <c r="A3" s="2">
        <v>2</v>
      </c>
      <c r="B3" s="2" t="s">
        <v>9</v>
      </c>
      <c r="C3" s="3">
        <v>39580</v>
      </c>
      <c r="D3" s="2" t="s">
        <v>10</v>
      </c>
      <c r="E3" s="4">
        <f>(B14-C3)/365</f>
        <v>17.849315068493151</v>
      </c>
      <c r="F3" s="2">
        <f>IF(E3&lt;3,1*B15,IF(E3&lt; 8, 0.8*B15, IF(E3&lt; 17, 0.6*B15, 0) ))</f>
        <v>0</v>
      </c>
    </row>
    <row r="4" spans="1:9" x14ac:dyDescent="0.25">
      <c r="A4" s="2">
        <v>3</v>
      </c>
      <c r="B4" s="2" t="s">
        <v>11</v>
      </c>
      <c r="C4" s="3">
        <v>40189</v>
      </c>
      <c r="D4" s="2" t="s">
        <v>12</v>
      </c>
      <c r="E4" s="4">
        <f>(B14-C4)/365</f>
        <v>16.18082191780822</v>
      </c>
      <c r="F4" s="2">
        <f>IF(E4&lt;3,1*B17,IF(E4&lt; 8, 0.8*B17, IF(E4&lt; 17, 0.6*B17, 0) ))</f>
        <v>0</v>
      </c>
    </row>
    <row r="5" spans="1:9" x14ac:dyDescent="0.25">
      <c r="A5" s="2">
        <v>4</v>
      </c>
      <c r="B5" s="2" t="s">
        <v>13</v>
      </c>
      <c r="C5" s="3">
        <v>40091</v>
      </c>
      <c r="D5" s="2" t="s">
        <v>7</v>
      </c>
      <c r="E5" s="4">
        <f>(B14-C5)/365</f>
        <v>16.449315068493149</v>
      </c>
      <c r="F5" s="2">
        <f>IF(E5&lt;3,1*B15,IF(E5&lt; 8, 0.8*B15, IF(E5&lt; 17, 0.6*B15, 0) ))</f>
        <v>514.79999999999995</v>
      </c>
    </row>
    <row r="6" spans="1:9" x14ac:dyDescent="0.25">
      <c r="A6" s="2">
        <v>5</v>
      </c>
      <c r="B6" s="2" t="s">
        <v>14</v>
      </c>
      <c r="C6" s="3">
        <v>40491</v>
      </c>
      <c r="D6" s="2" t="s">
        <v>10</v>
      </c>
      <c r="E6" s="4">
        <f>(B14-C6)/365</f>
        <v>15.353424657534246</v>
      </c>
      <c r="F6" s="2">
        <f>IF(E6&lt;3,1*B15,IF(E6&lt; 8, 0.8*B15, IF(E6&lt; 17, 0.6*B15, 0) ))</f>
        <v>514.79999999999995</v>
      </c>
    </row>
    <row r="7" spans="1:9" x14ac:dyDescent="0.25">
      <c r="A7" s="2">
        <v>6</v>
      </c>
      <c r="B7" s="2" t="s">
        <v>15</v>
      </c>
      <c r="C7" s="3">
        <v>37145</v>
      </c>
      <c r="D7" s="2" t="s">
        <v>12</v>
      </c>
      <c r="E7" s="4">
        <f>(B14-C7)/365</f>
        <v>24.520547945205479</v>
      </c>
      <c r="F7" s="2">
        <f>IF(E7&lt;3,1*B15,IF(E7&lt; 8, 0.8*B15, IF(E7&lt; 17, 0.6*B15, 0) ))</f>
        <v>0</v>
      </c>
    </row>
    <row r="8" spans="1:9" x14ac:dyDescent="0.25">
      <c r="A8" s="2">
        <v>7</v>
      </c>
      <c r="B8" s="2" t="s">
        <v>16</v>
      </c>
      <c r="C8" s="3">
        <v>40528</v>
      </c>
      <c r="D8" s="2" t="s">
        <v>7</v>
      </c>
      <c r="E8" s="4">
        <f>(B14-C8)/365</f>
        <v>15.252054794520548</v>
      </c>
      <c r="F8" s="2">
        <f>IF(E8&lt;3,1*B15,IF(E8&lt; 8, 0.8*B15, IF(E8&lt; 17, 0.6*B15, 0) ))</f>
        <v>514.79999999999995</v>
      </c>
    </row>
    <row r="9" spans="1:9" x14ac:dyDescent="0.25">
      <c r="A9" s="2">
        <v>8</v>
      </c>
      <c r="B9" s="2" t="s">
        <v>17</v>
      </c>
      <c r="C9" s="3">
        <v>40137</v>
      </c>
      <c r="D9" s="2" t="s">
        <v>10</v>
      </c>
      <c r="E9" s="4">
        <f>(B14-C9)/365</f>
        <v>16.323287671232876</v>
      </c>
      <c r="F9" s="2">
        <f>IF(E9&lt;3,1*B15,IF(E9&lt; 8, 0.8*B15, IF(E9&lt; 17, 0.6*B15, 0) ))</f>
        <v>514.79999999999995</v>
      </c>
    </row>
    <row r="10" spans="1:9" x14ac:dyDescent="0.25">
      <c r="A10" s="2">
        <v>9</v>
      </c>
      <c r="B10" s="2" t="s">
        <v>18</v>
      </c>
      <c r="C10" s="3">
        <v>40858</v>
      </c>
      <c r="D10" s="2" t="s">
        <v>12</v>
      </c>
      <c r="E10" s="4">
        <f>(B14-C10)/365</f>
        <v>14.347945205479451</v>
      </c>
      <c r="F10" s="2">
        <f>IF(E10&lt;3,1*B15,IF(E10&lt; 8, 0.8*B15, IF(E10&lt; 17, 0.6*B15, 0) ))</f>
        <v>514.79999999999995</v>
      </c>
    </row>
    <row r="11" spans="1:9" x14ac:dyDescent="0.25">
      <c r="A11" s="2">
        <v>10</v>
      </c>
      <c r="B11" s="2" t="s">
        <v>19</v>
      </c>
      <c r="C11" s="3">
        <v>39907</v>
      </c>
      <c r="D11" s="2" t="s">
        <v>7</v>
      </c>
      <c r="E11" s="4">
        <f>(B14-C11)/365</f>
        <v>16.953424657534246</v>
      </c>
      <c r="F11" s="2">
        <f>IF(E11&lt;3,1*B15,IF(E11&lt; 8, 0.8*B15, IF(E11&lt; 17, 0.6*B15, 0) ))</f>
        <v>514.79999999999995</v>
      </c>
    </row>
    <row r="12" spans="1:9" x14ac:dyDescent="0.25">
      <c r="E12" s="5">
        <f>AVERAGE(E2:E11)</f>
        <v>17.013150684931507</v>
      </c>
      <c r="F12">
        <f>SUM(F2:F11)</f>
        <v>3603.6000000000004</v>
      </c>
    </row>
    <row r="14" spans="1:9" x14ac:dyDescent="0.25">
      <c r="A14" t="s">
        <v>20</v>
      </c>
      <c r="B14" s="6">
        <v>46095</v>
      </c>
    </row>
    <row r="15" spans="1:9" x14ac:dyDescent="0.25">
      <c r="A15" t="s">
        <v>21</v>
      </c>
      <c r="B15" s="7">
        <v>858</v>
      </c>
    </row>
    <row r="17" spans="3:4" x14ac:dyDescent="0.25">
      <c r="C17" s="1" t="s">
        <v>22</v>
      </c>
      <c r="D17" s="1" t="s">
        <v>23</v>
      </c>
    </row>
    <row r="18" spans="3:4" x14ac:dyDescent="0.25">
      <c r="C18" s="2" t="s">
        <v>7</v>
      </c>
      <c r="D18" s="2">
        <f>SUM(F2,F5,F8,F11,F11)</f>
        <v>2574</v>
      </c>
    </row>
    <row r="19" spans="3:4" x14ac:dyDescent="0.25">
      <c r="C19" s="2" t="s">
        <v>10</v>
      </c>
      <c r="D19" s="2">
        <f>SUM(F3,F7,F9)</f>
        <v>514.79999999999995</v>
      </c>
    </row>
    <row r="20" spans="3:4" x14ac:dyDescent="0.25">
      <c r="C20" s="2" t="s">
        <v>12</v>
      </c>
      <c r="D20" s="2">
        <f>SUM(F4,F7,F10)</f>
        <v>514.79999999999995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2026-04-11T07:45:43Z</dcterms:modified>
</cp:coreProperties>
</file>