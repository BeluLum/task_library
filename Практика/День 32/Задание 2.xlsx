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DBE64559-BB2F-4285-BCE6-09F7FEED3465}" xr6:coauthVersionLast="47" xr6:coauthVersionMax="47" xr10:uidLastSave="{00000000-0000-0000-0000-000000000000}"/>
  <bookViews>
    <workbookView xWindow="1365" yWindow="3465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C18" i="1"/>
  <c r="C17" i="1"/>
  <c r="C16" i="1"/>
  <c r="C15" i="1"/>
</calcChain>
</file>

<file path=xl/sharedStrings.xml><?xml version="1.0" encoding="utf-8"?>
<sst xmlns="http://schemas.openxmlformats.org/spreadsheetml/2006/main" count="31" uniqueCount="28">
  <si>
    <t>РАСЧЕТ (КАЛЬКУЛЯЦИЯ)</t>
  </si>
  <si>
    <t>стоимости продуктов для салата</t>
  </si>
  <si>
    <t>на</t>
  </si>
  <si>
    <t>порции</t>
  </si>
  <si>
    <t>№</t>
  </si>
  <si>
    <t xml:space="preserve">Наименование </t>
  </si>
  <si>
    <t>Ед.Изм.</t>
  </si>
  <si>
    <t>Цена</t>
  </si>
  <si>
    <t>Кол-во</t>
  </si>
  <si>
    <t>Вес, г</t>
  </si>
  <si>
    <t>Стоимость</t>
  </si>
  <si>
    <t>Состав в %</t>
  </si>
  <si>
    <t>Картофель</t>
  </si>
  <si>
    <t>кг</t>
  </si>
  <si>
    <t>Фасоль</t>
  </si>
  <si>
    <t>Помидоры</t>
  </si>
  <si>
    <t>Рыба</t>
  </si>
  <si>
    <t>банка</t>
  </si>
  <si>
    <t>Капуста</t>
  </si>
  <si>
    <t>Яйца</t>
  </si>
  <si>
    <t>шт</t>
  </si>
  <si>
    <t>ИТОГО</t>
  </si>
  <si>
    <t>Вес порции , г.</t>
  </si>
  <si>
    <t>кол-во порций</t>
  </si>
  <si>
    <t>Стоимость порции</t>
  </si>
  <si>
    <t>Зарплата 25%</t>
  </si>
  <si>
    <t>Расходы</t>
  </si>
  <si>
    <t>Стоимость покупателю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</si>
</sst>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D6-4F23-B172-CB20DCECEA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D6-4F23-B172-CB20DCECEA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D6-4F23-B172-CB20DCECEA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D6-4F23-B172-CB20DCECEA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D6-4F23-B172-CB20DCECEA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D6-4F23-B172-CB20DCECEA69}"/>
              </c:ext>
            </c:extLst>
          </c:dPt>
          <c:cat>
            <c:strRef>
              <c:f>[1]Лист1!$B$5:$B$10</c:f>
              <c:strCache>
                <c:ptCount val="6"/>
                <c:pt idx="0">
                  <c:v>Картофель</c:v>
                </c:pt>
                <c:pt idx="1">
                  <c:v>Фасоль</c:v>
                </c:pt>
                <c:pt idx="2">
                  <c:v>Помидоры</c:v>
                </c:pt>
                <c:pt idx="3">
                  <c:v>Рыба</c:v>
                </c:pt>
                <c:pt idx="4">
                  <c:v>Капуста</c:v>
                </c:pt>
                <c:pt idx="5">
                  <c:v>Яйца</c:v>
                </c:pt>
              </c:strCache>
            </c:strRef>
          </c:cat>
          <c:val>
            <c:numRef>
              <c:f>[1]Лист1!$H$5:$H$10</c:f>
              <c:numCache>
                <c:formatCode>0%</c:formatCode>
                <c:ptCount val="6"/>
                <c:pt idx="0">
                  <c:v>0.03</c:v>
                </c:pt>
                <c:pt idx="1">
                  <c:v>7.0000000000000007E-2</c:v>
                </c:pt>
                <c:pt idx="2">
                  <c:v>0.37</c:v>
                </c:pt>
                <c:pt idx="3">
                  <c:v>0.32</c:v>
                </c:pt>
                <c:pt idx="4">
                  <c:v>0.15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D6-4F23-B172-CB20DCECE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2">
            <a:lumMod val="40000"/>
            <a:lumOff val="6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13</xdr:col>
      <xdr:colOff>304800</xdr:colOff>
      <xdr:row>29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3F7C3A-2018-4252-B315-C34F0CF7A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%20&#1087;2%20&#1080;%201%20&#1079;&#1072;&#1076;&#1072;&#1085;&#1080;&#1077;%20&#1090;&#1077;&#1089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5">
          <cell r="B5" t="str">
            <v>Картофель</v>
          </cell>
          <cell r="H5">
            <v>0.03</v>
          </cell>
        </row>
        <row r="6">
          <cell r="B6" t="str">
            <v>Фасоль</v>
          </cell>
          <cell r="H6">
            <v>7.0000000000000007E-2</v>
          </cell>
        </row>
        <row r="7">
          <cell r="B7" t="str">
            <v>Помидоры</v>
          </cell>
          <cell r="H7">
            <v>0.37</v>
          </cell>
        </row>
        <row r="8">
          <cell r="B8" t="str">
            <v>Рыба</v>
          </cell>
          <cell r="H8">
            <v>0.32</v>
          </cell>
        </row>
        <row r="9">
          <cell r="B9" t="str">
            <v>Капуста</v>
          </cell>
          <cell r="H9">
            <v>0.15</v>
          </cell>
        </row>
        <row r="10">
          <cell r="B10" t="str">
            <v>Яйца</v>
          </cell>
          <cell r="H10">
            <v>0.06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K5" sqref="K5"/>
    </sheetView>
  </sheetViews>
  <sheetFormatPr defaultRowHeight="15" x14ac:dyDescent="0.25"/>
  <sheetData>
    <row r="1" spans="1:8" x14ac:dyDescent="0.25">
      <c r="A1" t="s">
        <v>0</v>
      </c>
    </row>
    <row r="2" spans="1:8" ht="15.75" thickBot="1" x14ac:dyDescent="0.3">
      <c r="A2" t="s">
        <v>1</v>
      </c>
    </row>
    <row r="3" spans="1:8" ht="15.75" thickTop="1" x14ac:dyDescent="0.25">
      <c r="E3" s="4" t="s">
        <v>2</v>
      </c>
      <c r="F3" s="8"/>
      <c r="G3" s="7" t="s">
        <v>3</v>
      </c>
      <c r="H3" s="6"/>
    </row>
    <row r="4" spans="1:8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5" t="s">
        <v>11</v>
      </c>
    </row>
    <row r="5" spans="1:8" x14ac:dyDescent="0.25">
      <c r="A5" s="1">
        <v>1</v>
      </c>
      <c r="B5" s="1" t="s">
        <v>12</v>
      </c>
      <c r="C5" s="1" t="s">
        <v>13</v>
      </c>
      <c r="D5" s="1">
        <v>5</v>
      </c>
      <c r="E5" s="1">
        <v>0.3</v>
      </c>
      <c r="F5" s="1">
        <v>300</v>
      </c>
      <c r="G5" s="1">
        <v>1.5</v>
      </c>
      <c r="H5" s="2">
        <v>0.03</v>
      </c>
    </row>
    <row r="6" spans="1:8" x14ac:dyDescent="0.25">
      <c r="A6" s="1">
        <v>2</v>
      </c>
      <c r="B6" s="1" t="s">
        <v>14</v>
      </c>
      <c r="C6" s="1" t="s">
        <v>13</v>
      </c>
      <c r="D6" s="1">
        <v>12</v>
      </c>
      <c r="E6" s="1">
        <v>0.25</v>
      </c>
      <c r="F6" s="1">
        <v>250</v>
      </c>
      <c r="G6" s="1">
        <v>3</v>
      </c>
      <c r="H6" s="2">
        <v>7.0000000000000007E-2</v>
      </c>
    </row>
    <row r="7" spans="1:8" x14ac:dyDescent="0.25">
      <c r="A7" s="1">
        <v>3</v>
      </c>
      <c r="B7" s="1" t="s">
        <v>15</v>
      </c>
      <c r="C7" s="1" t="s">
        <v>13</v>
      </c>
      <c r="D7" s="1">
        <v>30</v>
      </c>
      <c r="E7" s="1">
        <v>0.55000000000000004</v>
      </c>
      <c r="F7" s="1">
        <v>550</v>
      </c>
      <c r="G7" s="1">
        <v>16.5</v>
      </c>
      <c r="H7" s="2">
        <v>0.37</v>
      </c>
    </row>
    <row r="8" spans="1:8" x14ac:dyDescent="0.25">
      <c r="A8" s="1">
        <v>4</v>
      </c>
      <c r="B8" s="1" t="s">
        <v>16</v>
      </c>
      <c r="C8" s="1" t="s">
        <v>17</v>
      </c>
      <c r="D8" s="1">
        <v>14.5</v>
      </c>
      <c r="E8" s="1">
        <v>1</v>
      </c>
      <c r="F8" s="1">
        <v>600</v>
      </c>
      <c r="G8" s="1">
        <v>14.5</v>
      </c>
      <c r="H8" s="2">
        <v>0.32</v>
      </c>
    </row>
    <row r="9" spans="1:8" x14ac:dyDescent="0.25">
      <c r="A9" s="1">
        <v>5</v>
      </c>
      <c r="B9" s="1" t="s">
        <v>18</v>
      </c>
      <c r="C9" s="1" t="s">
        <v>13</v>
      </c>
      <c r="D9" s="1">
        <v>9</v>
      </c>
      <c r="E9" s="1">
        <v>0.75</v>
      </c>
      <c r="F9" s="1">
        <v>750</v>
      </c>
      <c r="G9" s="1">
        <v>6.75</v>
      </c>
      <c r="H9" s="2">
        <v>0.15</v>
      </c>
    </row>
    <row r="10" spans="1:8" x14ac:dyDescent="0.25">
      <c r="A10" s="1">
        <v>6</v>
      </c>
      <c r="B10" s="1" t="s">
        <v>19</v>
      </c>
      <c r="C10" s="1" t="s">
        <v>20</v>
      </c>
      <c r="D10" s="1">
        <v>1.4</v>
      </c>
      <c r="E10" s="1">
        <v>2</v>
      </c>
      <c r="F10" s="1">
        <v>40</v>
      </c>
      <c r="G10" s="1">
        <v>2.8</v>
      </c>
      <c r="H10" s="2">
        <v>0.06</v>
      </c>
    </row>
    <row r="11" spans="1:8" x14ac:dyDescent="0.25">
      <c r="A11" s="1"/>
      <c r="B11" s="1" t="s">
        <v>21</v>
      </c>
      <c r="C11" s="1"/>
      <c r="D11" s="1"/>
      <c r="E11" s="1">
        <v>4.8499999999999996</v>
      </c>
      <c r="F11" s="1">
        <v>2490</v>
      </c>
      <c r="G11" s="1">
        <v>45.05</v>
      </c>
      <c r="H11" s="3">
        <v>1</v>
      </c>
    </row>
    <row r="13" spans="1:8" x14ac:dyDescent="0.25">
      <c r="B13" s="1" t="s">
        <v>22</v>
      </c>
      <c r="C13" s="1">
        <v>100</v>
      </c>
      <c r="E13" s="1" t="s">
        <v>23</v>
      </c>
      <c r="F13" s="1">
        <f>F11/C13</f>
        <v>24.9</v>
      </c>
    </row>
    <row r="15" spans="1:8" x14ac:dyDescent="0.25">
      <c r="B15" s="1" t="s">
        <v>24</v>
      </c>
      <c r="C15" s="1">
        <f>C13/F11*G11</f>
        <v>1.8092369477911645</v>
      </c>
    </row>
    <row r="16" spans="1:8" x14ac:dyDescent="0.25">
      <c r="B16" s="1" t="s">
        <v>25</v>
      </c>
      <c r="C16" s="1">
        <f>C15/4</f>
        <v>0.45230923694779113</v>
      </c>
    </row>
    <row r="17" spans="2:3" x14ac:dyDescent="0.25">
      <c r="B17" s="1" t="s">
        <v>26</v>
      </c>
      <c r="C17" s="1">
        <f>(C15*0.8)</f>
        <v>1.4473895582329317</v>
      </c>
    </row>
    <row r="18" spans="2:3" x14ac:dyDescent="0.25">
      <c r="B18" s="1" t="s">
        <v>27</v>
      </c>
      <c r="C18" s="1">
        <f>C15*2.05</f>
        <v>3.708935742971887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2026-04-11T07:40:24Z</dcterms:modified>
</cp:coreProperties>
</file>