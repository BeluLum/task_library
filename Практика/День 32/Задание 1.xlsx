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2\"/>
    </mc:Choice>
  </mc:AlternateContent>
  <xr:revisionPtr revIDLastSave="0" documentId="13_ncr:1_{2A58757E-F6D7-4E8F-80FE-AFE01A6F0B15}" xr6:coauthVersionLast="47" xr6:coauthVersionMax="47" xr10:uidLastSave="{00000000-0000-0000-0000-000000000000}"/>
  <bookViews>
    <workbookView xWindow="-720" yWindow="12390" windowWidth="21600" windowHeight="11385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E14" i="1" s="1"/>
  <c r="B13" i="1"/>
  <c r="B12" i="1"/>
  <c r="E12" i="1" s="1"/>
  <c r="D15" i="1"/>
  <c r="E15" i="1"/>
  <c r="D14" i="1"/>
  <c r="D13" i="1"/>
  <c r="E13" i="1" s="1"/>
  <c r="D12" i="1"/>
  <c r="F9" i="1"/>
  <c r="F8" i="1"/>
  <c r="F7" i="1"/>
  <c r="F6" i="1"/>
  <c r="F5" i="1"/>
  <c r="G9" i="1"/>
  <c r="G7" i="1"/>
  <c r="G6" i="1"/>
  <c r="G5" i="1"/>
  <c r="H2" i="1"/>
  <c r="H1" i="1" l="1"/>
</calcChain>
</file>

<file path=xl/sharedStrings.xml><?xml version="1.0" encoding="utf-8"?>
<sst xmlns="http://schemas.openxmlformats.org/spreadsheetml/2006/main" count="21" uniqueCount="12">
  <si>
    <t>Объем продаж книг магазином “Кругозор”</t>
  </si>
  <si>
    <t>1 квартал</t>
  </si>
  <si>
    <t xml:space="preserve">январь </t>
  </si>
  <si>
    <t>февраль</t>
  </si>
  <si>
    <t>март</t>
  </si>
  <si>
    <t>итого</t>
  </si>
  <si>
    <t>макс</t>
  </si>
  <si>
    <t>мин</t>
  </si>
  <si>
    <t>техническая</t>
  </si>
  <si>
    <t>художественная</t>
  </si>
  <si>
    <t>детская</t>
  </si>
  <si>
    <t>юридическая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</si>
</sst>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в январе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68-4C41-B122-69CE962A31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68-4C41-B122-69CE962A31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68-4C41-B122-69CE962A31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E68-4C41-B122-69CE962A31E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[1]Кругозор!$A$12:$A$15</c:f>
              <c:strCache>
                <c:ptCount val="4"/>
                <c:pt idx="0">
                  <c:v>техническая</c:v>
                </c:pt>
                <c:pt idx="1">
                  <c:v>художественная</c:v>
                </c:pt>
                <c:pt idx="2">
                  <c:v>детская</c:v>
                </c:pt>
                <c:pt idx="3">
                  <c:v>юридическая</c:v>
                </c:pt>
              </c:strCache>
            </c:strRef>
          </c:cat>
          <c:val>
            <c:numRef>
              <c:f>[1]Кругозор!$B$12:$B$15</c:f>
              <c:numCache>
                <c:formatCode>0.00%</c:formatCode>
                <c:ptCount val="4"/>
                <c:pt idx="0">
                  <c:v>0.14854941615504996</c:v>
                </c:pt>
                <c:pt idx="1">
                  <c:v>7.8728782954135074E-2</c:v>
                </c:pt>
                <c:pt idx="2">
                  <c:v>0.65390634404718917</c:v>
                </c:pt>
                <c:pt idx="3">
                  <c:v>0.11881545684362586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68-4C41-B122-69CE962A31E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за 1 квартал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[1]Кругозор!$B$11</c:f>
              <c:strCache>
                <c:ptCount val="1"/>
                <c:pt idx="0">
                  <c:v>январь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[1]Кругозор!$A$12:$A$15</c:f>
              <c:strCache>
                <c:ptCount val="4"/>
                <c:pt idx="0">
                  <c:v>техническая</c:v>
                </c:pt>
                <c:pt idx="1">
                  <c:v>художественная</c:v>
                </c:pt>
                <c:pt idx="2">
                  <c:v>детская</c:v>
                </c:pt>
                <c:pt idx="3">
                  <c:v>юридическая</c:v>
                </c:pt>
              </c:strCache>
            </c:strRef>
          </c:cat>
          <c:val>
            <c:numRef>
              <c:f>[1]Кругозор!$B$12:$B$15</c:f>
              <c:numCache>
                <c:formatCode>0.00%</c:formatCode>
                <c:ptCount val="4"/>
                <c:pt idx="0">
                  <c:v>0.14854941615504996</c:v>
                </c:pt>
                <c:pt idx="1">
                  <c:v>7.8728782954135074E-2</c:v>
                </c:pt>
                <c:pt idx="2">
                  <c:v>0.65390634404718917</c:v>
                </c:pt>
                <c:pt idx="3">
                  <c:v>0.11881545684362586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D-45ED-91AA-6998398434EE}"/>
            </c:ext>
          </c:extLst>
        </c:ser>
        <c:ser>
          <c:idx val="1"/>
          <c:order val="1"/>
          <c:tx>
            <c:strRef>
              <c:f>[1]Кругозор!$C$11</c:f>
              <c:strCache>
                <c:ptCount val="1"/>
                <c:pt idx="0">
                  <c:v>февраль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[1]Кругозор!$A$12:$A$15</c:f>
              <c:strCache>
                <c:ptCount val="4"/>
                <c:pt idx="0">
                  <c:v>техническая</c:v>
                </c:pt>
                <c:pt idx="1">
                  <c:v>художественная</c:v>
                </c:pt>
                <c:pt idx="2">
                  <c:v>детская</c:v>
                </c:pt>
                <c:pt idx="3">
                  <c:v>юридическая</c:v>
                </c:pt>
              </c:strCache>
            </c:strRef>
          </c:cat>
          <c:val>
            <c:numRef>
              <c:f>[1]Кругозор!$C$12:$C$15</c:f>
              <c:numCache>
                <c:formatCode>0.00%</c:formatCode>
                <c:ptCount val="4"/>
                <c:pt idx="0">
                  <c:v>0.14080310827963088</c:v>
                </c:pt>
                <c:pt idx="1">
                  <c:v>0.31221558792439891</c:v>
                </c:pt>
                <c:pt idx="2">
                  <c:v>0.22660321684086801</c:v>
                </c:pt>
                <c:pt idx="3">
                  <c:v>0.32037808695510217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D-45ED-91AA-6998398434EE}"/>
            </c:ext>
          </c:extLst>
        </c:ser>
        <c:ser>
          <c:idx val="2"/>
          <c:order val="2"/>
          <c:tx>
            <c:strRef>
              <c:f>[1]Кругозор!$D$11</c:f>
              <c:strCache>
                <c:ptCount val="1"/>
                <c:pt idx="0">
                  <c:v>март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[1]Кругозор!$A$12:$A$15</c:f>
              <c:strCache>
                <c:ptCount val="4"/>
                <c:pt idx="0">
                  <c:v>техническая</c:v>
                </c:pt>
                <c:pt idx="1">
                  <c:v>художественная</c:v>
                </c:pt>
                <c:pt idx="2">
                  <c:v>детская</c:v>
                </c:pt>
                <c:pt idx="3">
                  <c:v>юридическая</c:v>
                </c:pt>
              </c:strCache>
            </c:strRef>
          </c:cat>
          <c:val>
            <c:numRef>
              <c:f>[1]Кругозор!$D$12:$D$15</c:f>
              <c:numCache>
                <c:formatCode>0.00%</c:formatCode>
                <c:ptCount val="4"/>
                <c:pt idx="0">
                  <c:v>0.14624999999999999</c:v>
                </c:pt>
                <c:pt idx="1">
                  <c:v>0.16562499999999999</c:v>
                </c:pt>
                <c:pt idx="2">
                  <c:v>0.27750000000000002</c:v>
                </c:pt>
                <c:pt idx="3">
                  <c:v>0.41062500000000002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FD-45ED-91AA-699839843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3031759"/>
        <c:axId val="1904116447"/>
      </c:barChart>
      <c:catAx>
        <c:axId val="166303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4116447"/>
        <c:crosses val="autoZero"/>
        <c:auto val="1"/>
        <c:lblAlgn val="ctr"/>
        <c:lblOffset val="100"/>
        <c:noMultiLvlLbl val="0"/>
      </c:catAx>
      <c:valAx>
        <c:axId val="190411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303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2</xdr:row>
      <xdr:rowOff>38100</xdr:rowOff>
    </xdr:from>
    <xdr:to>
      <xdr:col>16</xdr:col>
      <xdr:colOff>133350</xdr:colOff>
      <xdr:row>16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A95B7C0-357E-480B-BCD4-EF5DB23FF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18</xdr:row>
      <xdr:rowOff>133350</xdr:rowOff>
    </xdr:from>
    <xdr:to>
      <xdr:col>12</xdr:col>
      <xdr:colOff>590550</xdr:colOff>
      <xdr:row>33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9DC2405-F5A3-4E55-9BEE-55A3FD09B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%20&#1087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ругозор"/>
      <sheetName val="Общий отчет"/>
      <sheetName val="Горизонт"/>
    </sheetNames>
    <sheetDataSet>
      <sheetData sheetId="0">
        <row r="11">
          <cell r="B11" t="str">
            <v xml:space="preserve">январь </v>
          </cell>
          <cell r="C11" t="str">
            <v>февраль</v>
          </cell>
          <cell r="D11" t="str">
            <v>март</v>
          </cell>
        </row>
        <row r="12">
          <cell r="A12" t="str">
            <v>техническая</v>
          </cell>
          <cell r="B12">
            <v>0.14854941615504996</v>
          </cell>
          <cell r="C12">
            <v>0.14080310827963088</v>
          </cell>
          <cell r="D12">
            <v>0.14624999999999999</v>
          </cell>
        </row>
        <row r="13">
          <cell r="A13" t="str">
            <v>художественная</v>
          </cell>
          <cell r="B13">
            <v>7.8728782954135074E-2</v>
          </cell>
          <cell r="C13">
            <v>0.31221558792439891</v>
          </cell>
          <cell r="D13">
            <v>0.16562499999999999</v>
          </cell>
        </row>
        <row r="14">
          <cell r="A14" t="str">
            <v>детская</v>
          </cell>
          <cell r="B14">
            <v>0.65390634404718917</v>
          </cell>
          <cell r="C14">
            <v>0.22660321684086801</v>
          </cell>
          <cell r="D14">
            <v>0.27750000000000002</v>
          </cell>
        </row>
        <row r="15">
          <cell r="A15" t="str">
            <v>юридическая</v>
          </cell>
          <cell r="B15">
            <v>0.11881545684362586</v>
          </cell>
          <cell r="C15">
            <v>0.32037808695510217</v>
          </cell>
          <cell r="D15">
            <v>0.41062500000000002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H14" sqref="H14"/>
    </sheetView>
  </sheetViews>
  <sheetFormatPr defaultRowHeight="15" x14ac:dyDescent="0.25"/>
  <sheetData>
    <row r="1" spans="1:8" x14ac:dyDescent="0.25">
      <c r="A1" t="s">
        <v>0</v>
      </c>
      <c r="H1">
        <f>SUM(B5,C5,B8,C8)</f>
        <v>3351</v>
      </c>
    </row>
    <row r="2" spans="1:8" x14ac:dyDescent="0.25">
      <c r="A2" t="s">
        <v>1</v>
      </c>
      <c r="H2">
        <f>SUM(C6,C7,D6,D7)</f>
        <v>2029.23</v>
      </c>
    </row>
    <row r="4" spans="1:8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8" x14ac:dyDescent="0.25">
      <c r="A5" t="s">
        <v>8</v>
      </c>
      <c r="B5">
        <v>1234</v>
      </c>
      <c r="C5">
        <v>345</v>
      </c>
      <c r="D5">
        <v>234</v>
      </c>
      <c r="E5">
        <v>1813</v>
      </c>
      <c r="F5">
        <f>MAX(B5:D5)</f>
        <v>1234</v>
      </c>
      <c r="G5">
        <f>MIN(B5:D5)</f>
        <v>234</v>
      </c>
    </row>
    <row r="6" spans="1:8" x14ac:dyDescent="0.25">
      <c r="A6" t="s">
        <v>9</v>
      </c>
      <c r="B6">
        <v>654</v>
      </c>
      <c r="C6">
        <v>765</v>
      </c>
      <c r="D6">
        <v>265</v>
      </c>
      <c r="E6">
        <v>1684</v>
      </c>
      <c r="F6">
        <f>MAX(B6:D6)</f>
        <v>765</v>
      </c>
      <c r="G6">
        <f>MIN(B6:D6)</f>
        <v>265</v>
      </c>
    </row>
    <row r="7" spans="1:8" x14ac:dyDescent="0.25">
      <c r="A7" t="s">
        <v>10</v>
      </c>
      <c r="B7">
        <v>5432</v>
      </c>
      <c r="C7">
        <v>555.23</v>
      </c>
      <c r="D7">
        <v>444</v>
      </c>
      <c r="E7">
        <v>6431.23</v>
      </c>
      <c r="F7">
        <f>MAX(B7:D7)</f>
        <v>5432</v>
      </c>
      <c r="G7">
        <f>MIN(B7:D7)</f>
        <v>444</v>
      </c>
    </row>
    <row r="8" spans="1:8" x14ac:dyDescent="0.25">
      <c r="A8" t="s">
        <v>11</v>
      </c>
      <c r="B8">
        <v>987</v>
      </c>
      <c r="C8">
        <v>785</v>
      </c>
      <c r="D8">
        <v>657</v>
      </c>
      <c r="E8">
        <v>2429</v>
      </c>
      <c r="F8">
        <f>MAX(B8:D8)</f>
        <v>987</v>
      </c>
      <c r="G8">
        <v>657</v>
      </c>
    </row>
    <row r="9" spans="1:8" x14ac:dyDescent="0.25">
      <c r="A9" t="s">
        <v>5</v>
      </c>
      <c r="B9">
        <v>8307</v>
      </c>
      <c r="C9">
        <v>2450.23</v>
      </c>
      <c r="D9">
        <v>1600</v>
      </c>
      <c r="E9">
        <v>12357.23</v>
      </c>
      <c r="F9">
        <f>MAX(B9:D9)</f>
        <v>8307</v>
      </c>
      <c r="G9">
        <f>MIN(B9:D9)</f>
        <v>1600</v>
      </c>
    </row>
    <row r="11" spans="1:8" x14ac:dyDescent="0.25">
      <c r="B11" t="s">
        <v>2</v>
      </c>
      <c r="C11" t="s">
        <v>3</v>
      </c>
      <c r="D11" t="s">
        <v>4</v>
      </c>
      <c r="E11" t="s">
        <v>5</v>
      </c>
    </row>
    <row r="12" spans="1:8" x14ac:dyDescent="0.25">
      <c r="A12" t="s">
        <v>8</v>
      </c>
      <c r="B12" s="1">
        <f>(B5/B9)</f>
        <v>0.14854941615504996</v>
      </c>
      <c r="C12" s="1">
        <v>0.14080000000000001</v>
      </c>
      <c r="D12" s="1">
        <f>(D5/D9)</f>
        <v>0.14624999999999999</v>
      </c>
      <c r="E12" s="1">
        <f>SUM(B12:D12)</f>
        <v>0.43559941615504993</v>
      </c>
    </row>
    <row r="13" spans="1:8" x14ac:dyDescent="0.25">
      <c r="A13" t="s">
        <v>9</v>
      </c>
      <c r="B13" s="1">
        <f>(B6/B9)</f>
        <v>7.8728782954135074E-2</v>
      </c>
      <c r="C13" s="1">
        <v>0.31219999999999998</v>
      </c>
      <c r="D13" s="1">
        <f>(D6/D9)</f>
        <v>0.16562499999999999</v>
      </c>
      <c r="E13" s="1">
        <f>SUM(B13:D13)</f>
        <v>0.55655378295413505</v>
      </c>
    </row>
    <row r="14" spans="1:8" x14ac:dyDescent="0.25">
      <c r="A14" t="s">
        <v>10</v>
      </c>
      <c r="B14" s="1">
        <f>(B7/B9)</f>
        <v>0.65390634404718917</v>
      </c>
      <c r="C14" s="1">
        <v>0.2266</v>
      </c>
      <c r="D14" s="1">
        <f>(D7/D9)</f>
        <v>0.27750000000000002</v>
      </c>
      <c r="E14" s="1">
        <f>SUM(B14:D14)</f>
        <v>1.1580063440471893</v>
      </c>
    </row>
    <row r="15" spans="1:8" x14ac:dyDescent="0.25">
      <c r="A15" t="s">
        <v>11</v>
      </c>
      <c r="B15" s="1">
        <f>(B8/B9)</f>
        <v>0.11881545684362586</v>
      </c>
      <c r="C15" s="1">
        <v>0.32040000000000002</v>
      </c>
      <c r="D15" s="1">
        <f>(D8/D9)</f>
        <v>0.41062500000000002</v>
      </c>
      <c r="E15" s="1">
        <f>SUM(B15:D15)</f>
        <v>0.84984045684362597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2026-04-11T07:35:22Z</dcterms:modified>
</cp:coreProperties>
</file>