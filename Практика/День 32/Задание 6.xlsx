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E87A4993-0039-4384-8203-24A551040064}" xr6:coauthVersionLast="47" xr6:coauthVersionMax="47" xr10:uidLastSave="{00000000-0000-0000-0000-000000000000}"/>
  <bookViews>
    <workbookView xWindow="2340" yWindow="2340" windowWidth="21600" windowHeight="1120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H7" i="1" s="1"/>
  <c r="I7" i="1" s="1"/>
  <c r="C19" i="1" s="1"/>
  <c r="G6" i="1"/>
  <c r="H6" i="1" s="1"/>
  <c r="I6" i="1" s="1"/>
  <c r="G5" i="1"/>
  <c r="H5" i="1" s="1"/>
  <c r="I5" i="1" s="1"/>
  <c r="C17" i="1" s="1"/>
  <c r="G4" i="1"/>
  <c r="H4" i="1" s="1"/>
  <c r="I4" i="1" s="1"/>
  <c r="G3" i="1"/>
  <c r="H3" i="1" s="1"/>
  <c r="I3" i="1" s="1"/>
  <c r="G2" i="1"/>
  <c r="H2" i="1" s="1"/>
  <c r="I2" i="1" s="1"/>
  <c r="C15" i="1" l="1"/>
  <c r="C10" i="1"/>
  <c r="I8" i="1"/>
  <c r="I9" i="1" s="1"/>
  <c r="C16" i="1"/>
  <c r="C11" i="1"/>
  <c r="C18" i="1"/>
  <c r="C12" i="1"/>
</calcChain>
</file>

<file path=xl/sharedStrings.xml><?xml version="1.0" encoding="utf-8"?>
<sst xmlns="http://schemas.openxmlformats.org/spreadsheetml/2006/main" count="35" uniqueCount="20">
  <si>
    <t>№ п/п</t>
  </si>
  <si>
    <t>Место работы</t>
  </si>
  <si>
    <t>Дата поступления</t>
  </si>
  <si>
    <t>Дата увольнения</t>
  </si>
  <si>
    <t>Должность</t>
  </si>
  <si>
    <t>Оклад</t>
  </si>
  <si>
    <t>Стаж</t>
  </si>
  <si>
    <t>Надбавка</t>
  </si>
  <si>
    <t>Оплата труда</t>
  </si>
  <si>
    <t>Цех</t>
  </si>
  <si>
    <t xml:space="preserve">рабочий </t>
  </si>
  <si>
    <t>Офис</t>
  </si>
  <si>
    <t>бухгалтер</t>
  </si>
  <si>
    <t>Директор</t>
  </si>
  <si>
    <t>Склад</t>
  </si>
  <si>
    <t>Грузчик</t>
  </si>
  <si>
    <t>Администратор</t>
  </si>
  <si>
    <t>мин</t>
  </si>
  <si>
    <t>макс</t>
  </si>
  <si>
    <t>Средняя оплата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</si>
</sst>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[1]Лист1!$C$14</c:f>
              <c:strCache>
                <c:ptCount val="1"/>
                <c:pt idx="0">
                  <c:v>Средняя оплата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05-450C-A381-1AF746D63A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05-450C-A381-1AF746D63A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05-450C-A381-1AF746D63A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05-450C-A381-1AF746D63A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05-450C-A381-1AF746D63A8D}"/>
              </c:ext>
            </c:extLst>
          </c:dPt>
          <c:cat>
            <c:strRef>
              <c:f>[1]Лист1!$B$15:$B$19</c:f>
              <c:strCache>
                <c:ptCount val="5"/>
                <c:pt idx="0">
                  <c:v>рабочий </c:v>
                </c:pt>
                <c:pt idx="1">
                  <c:v>бухгалтер</c:v>
                </c:pt>
                <c:pt idx="2">
                  <c:v>Директор</c:v>
                </c:pt>
                <c:pt idx="3">
                  <c:v>Грузчик</c:v>
                </c:pt>
                <c:pt idx="4">
                  <c:v>Администратор</c:v>
                </c:pt>
              </c:strCache>
            </c:strRef>
          </c:cat>
          <c:val>
            <c:numRef>
              <c:f>[1]Лист1!$C$15:$C$19</c:f>
              <c:numCache>
                <c:formatCode>General</c:formatCode>
                <c:ptCount val="5"/>
                <c:pt idx="0">
                  <c:v>2160</c:v>
                </c:pt>
                <c:pt idx="1">
                  <c:v>1800</c:v>
                </c:pt>
                <c:pt idx="2">
                  <c:v>2400</c:v>
                </c:pt>
                <c:pt idx="3">
                  <c:v>1080</c:v>
                </c:pt>
                <c:pt idx="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05-450C-A381-1AF746D63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11</xdr:row>
      <xdr:rowOff>166687</xdr:rowOff>
    </xdr:from>
    <xdr:to>
      <xdr:col>14</xdr:col>
      <xdr:colOff>428625</xdr:colOff>
      <xdr:row>26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3E2CBA5-328C-4CA1-BD5F-38C5E5703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%20&#1087;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4">
          <cell r="C14" t="str">
            <v>Средняя оплата</v>
          </cell>
        </row>
        <row r="15">
          <cell r="B15" t="str">
            <v xml:space="preserve">рабочий </v>
          </cell>
          <cell r="C15">
            <v>2160</v>
          </cell>
        </row>
        <row r="16">
          <cell r="B16" t="str">
            <v>бухгалтер</v>
          </cell>
          <cell r="C16">
            <v>1800</v>
          </cell>
        </row>
        <row r="17">
          <cell r="B17" t="str">
            <v>Директор</v>
          </cell>
          <cell r="C17">
            <v>2400</v>
          </cell>
        </row>
        <row r="18">
          <cell r="B18" t="str">
            <v>Грузчик</v>
          </cell>
          <cell r="C18">
            <v>1080</v>
          </cell>
        </row>
        <row r="19">
          <cell r="B19" t="str">
            <v>Администратор</v>
          </cell>
          <cell r="C19">
            <v>1080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G13" sqref="G13"/>
    </sheetView>
  </sheetViews>
  <sheetFormatPr defaultRowHeight="15" x14ac:dyDescent="0.25"/>
  <cols>
    <col min="1" max="1" width="7.85546875" customWidth="1"/>
    <col min="2" max="2" width="15.42578125" customWidth="1"/>
    <col min="3" max="3" width="18.28515625" customWidth="1"/>
    <col min="4" max="4" width="16.5703125" customWidth="1"/>
    <col min="5" max="5" width="15.7109375" customWidth="1"/>
    <col min="8" max="8" width="9.7109375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2">
        <v>39884</v>
      </c>
      <c r="D2" s="2">
        <v>46095</v>
      </c>
      <c r="E2" t="s">
        <v>10</v>
      </c>
      <c r="F2" s="1">
        <v>1200</v>
      </c>
      <c r="G2" s="1">
        <f>D2-C2</f>
        <v>6211</v>
      </c>
      <c r="H2" s="1">
        <f>IF(G2&lt;1826, 10, IF(G2&lt;3652, 15, 20))</f>
        <v>20</v>
      </c>
      <c r="I2" s="1">
        <f>F2+F2*H2/100</f>
        <v>1440</v>
      </c>
    </row>
    <row r="3" spans="1:9" x14ac:dyDescent="0.25">
      <c r="A3" s="1">
        <v>2</v>
      </c>
      <c r="B3" s="1" t="s">
        <v>9</v>
      </c>
      <c r="C3" s="2">
        <v>39884</v>
      </c>
      <c r="D3" s="2">
        <v>46096</v>
      </c>
      <c r="E3" s="1" t="s">
        <v>10</v>
      </c>
      <c r="F3" s="1">
        <v>1200</v>
      </c>
      <c r="G3" s="1">
        <f t="shared" ref="G3:G7" si="0">D3-C3</f>
        <v>6212</v>
      </c>
      <c r="H3" s="1">
        <f t="shared" ref="H3:H7" si="1">IF(G3&lt;1826, 10, IF(G3&lt;3652, 15, 20))</f>
        <v>20</v>
      </c>
      <c r="I3" s="1">
        <f t="shared" ref="I3:I7" si="2">F3+F3*H3/100</f>
        <v>1440</v>
      </c>
    </row>
    <row r="4" spans="1:9" x14ac:dyDescent="0.25">
      <c r="A4" s="1">
        <v>3</v>
      </c>
      <c r="B4" s="1" t="s">
        <v>11</v>
      </c>
      <c r="C4" s="2">
        <v>40481</v>
      </c>
      <c r="D4" s="2">
        <v>46097</v>
      </c>
      <c r="E4" s="1" t="s">
        <v>12</v>
      </c>
      <c r="F4" s="1">
        <v>1500</v>
      </c>
      <c r="G4" s="1">
        <f t="shared" si="0"/>
        <v>5616</v>
      </c>
      <c r="H4" s="1">
        <f>IF(G4&lt;1826, 10, IF(G4&lt;3652, 15, 20))</f>
        <v>20</v>
      </c>
      <c r="I4" s="1">
        <f t="shared" si="2"/>
        <v>1800</v>
      </c>
    </row>
    <row r="5" spans="1:9" x14ac:dyDescent="0.25">
      <c r="A5" s="1">
        <v>4</v>
      </c>
      <c r="B5" s="1" t="s">
        <v>11</v>
      </c>
      <c r="C5" s="2">
        <v>39884</v>
      </c>
      <c r="D5" s="2">
        <v>46098</v>
      </c>
      <c r="E5" s="1" t="s">
        <v>13</v>
      </c>
      <c r="F5" s="1">
        <v>2000</v>
      </c>
      <c r="G5" s="1">
        <f t="shared" si="0"/>
        <v>6214</v>
      </c>
      <c r="H5" s="1">
        <f t="shared" si="1"/>
        <v>20</v>
      </c>
      <c r="I5" s="1">
        <f t="shared" si="2"/>
        <v>2400</v>
      </c>
    </row>
    <row r="6" spans="1:9" x14ac:dyDescent="0.25">
      <c r="A6" s="1">
        <v>5</v>
      </c>
      <c r="B6" s="1" t="s">
        <v>14</v>
      </c>
      <c r="C6" s="2">
        <v>39884</v>
      </c>
      <c r="D6" s="2">
        <v>46099</v>
      </c>
      <c r="E6" s="1" t="s">
        <v>15</v>
      </c>
      <c r="F6" s="1">
        <v>900</v>
      </c>
      <c r="G6" s="1">
        <f t="shared" si="0"/>
        <v>6215</v>
      </c>
      <c r="H6" s="1">
        <f t="shared" si="1"/>
        <v>20</v>
      </c>
      <c r="I6" s="1">
        <f t="shared" si="2"/>
        <v>1080</v>
      </c>
    </row>
    <row r="7" spans="1:9" x14ac:dyDescent="0.25">
      <c r="A7" s="1">
        <v>6</v>
      </c>
      <c r="B7" s="1" t="s">
        <v>14</v>
      </c>
      <c r="C7" s="2">
        <v>40466</v>
      </c>
      <c r="D7" s="2">
        <v>46100</v>
      </c>
      <c r="E7" s="1" t="s">
        <v>16</v>
      </c>
      <c r="F7" s="1">
        <v>900</v>
      </c>
      <c r="G7" s="1">
        <f t="shared" si="0"/>
        <v>5634</v>
      </c>
      <c r="H7" s="1">
        <f t="shared" si="1"/>
        <v>20</v>
      </c>
      <c r="I7" s="1">
        <f t="shared" si="2"/>
        <v>1080</v>
      </c>
    </row>
    <row r="8" spans="1:9" x14ac:dyDescent="0.25">
      <c r="H8" s="1" t="s">
        <v>17</v>
      </c>
      <c r="I8" s="3">
        <f>MIN(I2:I7)</f>
        <v>1080</v>
      </c>
    </row>
    <row r="9" spans="1:9" x14ac:dyDescent="0.25">
      <c r="B9" s="1" t="s">
        <v>1</v>
      </c>
      <c r="C9" s="1" t="s">
        <v>8</v>
      </c>
      <c r="H9" s="1" t="s">
        <v>18</v>
      </c>
      <c r="I9" s="1">
        <f>MAX(I2:I8)</f>
        <v>2400</v>
      </c>
    </row>
    <row r="10" spans="1:9" x14ac:dyDescent="0.25">
      <c r="B10" s="1" t="s">
        <v>9</v>
      </c>
      <c r="C10" s="1">
        <f>I2+I3</f>
        <v>2880</v>
      </c>
    </row>
    <row r="11" spans="1:9" x14ac:dyDescent="0.25">
      <c r="B11" s="1" t="s">
        <v>11</v>
      </c>
      <c r="C11" s="1">
        <f>I4+I5</f>
        <v>4200</v>
      </c>
    </row>
    <row r="12" spans="1:9" x14ac:dyDescent="0.25">
      <c r="B12" s="1" t="s">
        <v>14</v>
      </c>
      <c r="C12" s="1">
        <f>I6+I7</f>
        <v>2160</v>
      </c>
    </row>
    <row r="14" spans="1:9" x14ac:dyDescent="0.25">
      <c r="B14" s="1" t="s">
        <v>4</v>
      </c>
      <c r="C14" s="1" t="s">
        <v>19</v>
      </c>
    </row>
    <row r="15" spans="1:9" x14ac:dyDescent="0.25">
      <c r="B15" s="1" t="s">
        <v>10</v>
      </c>
      <c r="C15" s="1">
        <f>I2+I3/2</f>
        <v>2160</v>
      </c>
    </row>
    <row r="16" spans="1:9" x14ac:dyDescent="0.25">
      <c r="B16" s="1" t="s">
        <v>12</v>
      </c>
      <c r="C16" s="1">
        <f>I4</f>
        <v>1800</v>
      </c>
    </row>
    <row r="17" spans="2:3" x14ac:dyDescent="0.25">
      <c r="B17" s="1" t="s">
        <v>13</v>
      </c>
      <c r="C17" s="1">
        <f>I5</f>
        <v>2400</v>
      </c>
    </row>
    <row r="18" spans="2:3" x14ac:dyDescent="0.25">
      <c r="B18" s="1" t="s">
        <v>15</v>
      </c>
      <c r="C18" s="1">
        <f>I6</f>
        <v>1080</v>
      </c>
    </row>
    <row r="19" spans="2:3" x14ac:dyDescent="0.25">
      <c r="B19" s="1" t="s">
        <v>16</v>
      </c>
      <c r="C19" s="1">
        <f>I7</f>
        <v>1080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2026-04-11T07:46:59Z</dcterms:modified>
</cp:coreProperties>
</file>