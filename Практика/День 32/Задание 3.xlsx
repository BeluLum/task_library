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B34BB2C6-CA0A-497F-9E99-CD613ED60303}" xr6:coauthVersionLast="47" xr6:coauthVersionMax="47" xr10:uidLastSave="{00000000-0000-0000-0000-000000000000}"/>
  <bookViews>
    <workbookView xWindow="1020" yWindow="3120" windowWidth="21600" windowHeight="1120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C18" i="1"/>
  <c r="C17" i="1"/>
  <c r="C16" i="1"/>
  <c r="F13" i="1"/>
  <c r="F12" i="1"/>
  <c r="F11" i="1"/>
  <c r="F10" i="1"/>
  <c r="F9" i="1"/>
  <c r="F8" i="1"/>
  <c r="F7" i="1"/>
  <c r="F6" i="1"/>
  <c r="F5" i="1"/>
  <c r="F4" i="1"/>
  <c r="F3" i="1"/>
  <c r="F2" i="1"/>
  <c r="J2" i="1"/>
</calcChain>
</file>

<file path=xl/sharedStrings.xml><?xml version="1.0" encoding="utf-8"?>
<sst xmlns="http://schemas.openxmlformats.org/spreadsheetml/2006/main" count="39" uniqueCount="19">
  <si>
    <t>№</t>
  </si>
  <si>
    <t>Месяц</t>
  </si>
  <si>
    <t>ФИО</t>
  </si>
  <si>
    <t xml:space="preserve">Номер </t>
  </si>
  <si>
    <t>Льгота</t>
  </si>
  <si>
    <t>Оплата</t>
  </si>
  <si>
    <t>Внесено</t>
  </si>
  <si>
    <t>Долг</t>
  </si>
  <si>
    <t xml:space="preserve">Долг выше среднего </t>
  </si>
  <si>
    <t>март</t>
  </si>
  <si>
    <t>Король</t>
  </si>
  <si>
    <t>Королев</t>
  </si>
  <si>
    <t>Кудлаш</t>
  </si>
  <si>
    <t>Куродым</t>
  </si>
  <si>
    <t>апрель</t>
  </si>
  <si>
    <t>май</t>
  </si>
  <si>
    <t>Март</t>
  </si>
  <si>
    <t>Апрель</t>
  </si>
  <si>
    <t>Май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</si>
</sst>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[1]Лист1!$C$15</c:f>
              <c:strCache>
                <c:ptCount val="1"/>
                <c:pt idx="0">
                  <c:v>Оплата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DB-464E-A13E-73243E74EE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DB-464E-A13E-73243E74EE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DB-464E-A13E-73243E74EE8C}"/>
              </c:ext>
            </c:extLst>
          </c:dPt>
          <c:cat>
            <c:strRef>
              <c:f>[1]Лист1!$B$16:$B$18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Май</c:v>
                </c:pt>
              </c:strCache>
            </c:strRef>
          </c:cat>
          <c:val>
            <c:numRef>
              <c:f>[1]Лист1!$C$16:$C$18</c:f>
              <c:numCache>
                <c:formatCode>0%</c:formatCode>
                <c:ptCount val="3"/>
                <c:pt idx="0">
                  <c:v>3.25</c:v>
                </c:pt>
                <c:pt idx="1">
                  <c:v>3.25</c:v>
                </c:pt>
                <c:pt idx="2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DB-464E-A13E-73243E74EE8C}"/>
            </c:ext>
          </c:extLst>
        </c:ser>
        <c:ser>
          <c:idx val="1"/>
          <c:order val="1"/>
          <c:tx>
            <c:strRef>
              <c:f>[1]Лист1!$D$15</c:f>
              <c:strCache>
                <c:ptCount val="1"/>
                <c:pt idx="0">
                  <c:v>Внесено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ADB-464E-A13E-73243E74EE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ADB-464E-A13E-73243E74EE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ADB-464E-A13E-73243E74EE8C}"/>
              </c:ext>
            </c:extLst>
          </c:dPt>
          <c:cat>
            <c:strRef>
              <c:f>[1]Лист1!$B$16:$B$18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Май</c:v>
                </c:pt>
              </c:strCache>
            </c:strRef>
          </c:cat>
          <c:val>
            <c:numRef>
              <c:f>[1]Лист1!$D$16:$D$18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DB-464E-A13E-73243E74E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16</xdr:row>
      <xdr:rowOff>66675</xdr:rowOff>
    </xdr:from>
    <xdr:to>
      <xdr:col>12</xdr:col>
      <xdr:colOff>180975</xdr:colOff>
      <xdr:row>30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D31F5A-3533-4ADF-A89D-D4C3C267F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&#1087;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5">
          <cell r="C15" t="str">
            <v>Оплата</v>
          </cell>
          <cell r="D15" t="str">
            <v>Внесено</v>
          </cell>
        </row>
        <row r="16">
          <cell r="B16" t="str">
            <v>Март</v>
          </cell>
          <cell r="C16">
            <v>3.25</v>
          </cell>
          <cell r="D16">
            <v>0</v>
          </cell>
        </row>
        <row r="17">
          <cell r="B17" t="str">
            <v>Апрель</v>
          </cell>
          <cell r="C17">
            <v>3.25</v>
          </cell>
          <cell r="D17">
            <v>0</v>
          </cell>
        </row>
        <row r="18">
          <cell r="B18" t="str">
            <v>Май</v>
          </cell>
          <cell r="C18">
            <v>3.25</v>
          </cell>
          <cell r="D1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L12" sqref="L1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8</v>
      </c>
    </row>
    <row r="2" spans="1:10" x14ac:dyDescent="0.25">
      <c r="A2" s="1">
        <v>1</v>
      </c>
      <c r="B2" s="1" t="s">
        <v>9</v>
      </c>
      <c r="C2" s="1" t="s">
        <v>10</v>
      </c>
      <c r="D2" s="1">
        <v>12</v>
      </c>
      <c r="E2" s="1">
        <v>0</v>
      </c>
      <c r="F2" s="2">
        <f>1-(0.25*E2)</f>
        <v>1</v>
      </c>
      <c r="G2" s="1"/>
      <c r="H2" s="2">
        <v>0.5</v>
      </c>
      <c r="J2">
        <f>COUNTIF(H2:H13, 50%)</f>
        <v>1</v>
      </c>
    </row>
    <row r="3" spans="1:10" x14ac:dyDescent="0.25">
      <c r="A3" s="1">
        <v>2</v>
      </c>
      <c r="B3" s="1" t="s">
        <v>9</v>
      </c>
      <c r="C3" s="1" t="s">
        <v>11</v>
      </c>
      <c r="D3" s="1">
        <v>11</v>
      </c>
      <c r="E3" s="1">
        <v>1</v>
      </c>
      <c r="F3" s="2">
        <f>1-(0.25*E3)</f>
        <v>0.75</v>
      </c>
      <c r="G3" s="1"/>
      <c r="H3" s="1"/>
    </row>
    <row r="4" spans="1:10" x14ac:dyDescent="0.25">
      <c r="A4" s="1">
        <v>3</v>
      </c>
      <c r="B4" s="1" t="s">
        <v>9</v>
      </c>
      <c r="C4" s="1" t="s">
        <v>12</v>
      </c>
      <c r="D4" s="1">
        <v>13</v>
      </c>
      <c r="E4" s="1">
        <v>0</v>
      </c>
      <c r="F4" s="2">
        <f>1-(0.25*E4)</f>
        <v>1</v>
      </c>
      <c r="G4" s="1"/>
      <c r="H4" s="1"/>
    </row>
    <row r="5" spans="1:10" x14ac:dyDescent="0.25">
      <c r="A5" s="1">
        <v>4</v>
      </c>
      <c r="B5" s="1" t="s">
        <v>9</v>
      </c>
      <c r="C5" s="1" t="s">
        <v>13</v>
      </c>
      <c r="D5" s="1">
        <v>16</v>
      </c>
      <c r="E5" s="1">
        <v>2</v>
      </c>
      <c r="F5" s="2">
        <f>1-(0.25*E5)</f>
        <v>0.5</v>
      </c>
      <c r="G5" s="1"/>
      <c r="H5" s="1"/>
    </row>
    <row r="6" spans="1:10" x14ac:dyDescent="0.25">
      <c r="A6" s="1">
        <v>5</v>
      </c>
      <c r="B6" s="1" t="s">
        <v>14</v>
      </c>
      <c r="C6" s="1" t="s">
        <v>10</v>
      </c>
      <c r="D6" s="1">
        <v>12</v>
      </c>
      <c r="E6" s="1">
        <v>0</v>
      </c>
      <c r="F6" s="2">
        <f>1-(0.25*E6)</f>
        <v>1</v>
      </c>
      <c r="G6" s="1"/>
      <c r="H6" s="1"/>
    </row>
    <row r="7" spans="1:10" x14ac:dyDescent="0.25">
      <c r="A7" s="1">
        <v>6</v>
      </c>
      <c r="B7" s="1" t="s">
        <v>14</v>
      </c>
      <c r="C7" s="1" t="s">
        <v>11</v>
      </c>
      <c r="D7" s="1">
        <v>11</v>
      </c>
      <c r="E7" s="1">
        <v>1</v>
      </c>
      <c r="F7" s="2">
        <f>1-(0.25*E7)</f>
        <v>0.75</v>
      </c>
      <c r="G7" s="1"/>
      <c r="H7" s="1"/>
    </row>
    <row r="8" spans="1:10" x14ac:dyDescent="0.25">
      <c r="A8" s="1">
        <v>7</v>
      </c>
      <c r="B8" s="1" t="s">
        <v>14</v>
      </c>
      <c r="C8" s="1" t="s">
        <v>12</v>
      </c>
      <c r="D8" s="1">
        <v>13</v>
      </c>
      <c r="E8" s="1">
        <v>0</v>
      </c>
      <c r="F8" s="2">
        <f>1-(0.25*E8)</f>
        <v>1</v>
      </c>
      <c r="G8" s="1"/>
      <c r="H8" s="1"/>
    </row>
    <row r="9" spans="1:10" x14ac:dyDescent="0.25">
      <c r="A9" s="1">
        <v>8</v>
      </c>
      <c r="B9" s="1" t="s">
        <v>14</v>
      </c>
      <c r="C9" s="1" t="s">
        <v>13</v>
      </c>
      <c r="D9" s="1">
        <v>16</v>
      </c>
      <c r="E9" s="1">
        <v>2</v>
      </c>
      <c r="F9" s="2">
        <f>1-(0.25*E9)</f>
        <v>0.5</v>
      </c>
      <c r="G9" s="1"/>
      <c r="H9" s="1"/>
    </row>
    <row r="10" spans="1:10" x14ac:dyDescent="0.25">
      <c r="A10" s="1">
        <v>9</v>
      </c>
      <c r="B10" s="1" t="s">
        <v>15</v>
      </c>
      <c r="C10" s="1" t="s">
        <v>10</v>
      </c>
      <c r="D10" s="1">
        <v>12</v>
      </c>
      <c r="E10" s="1">
        <v>0</v>
      </c>
      <c r="F10" s="2">
        <f>1-(0.25*E10)</f>
        <v>1</v>
      </c>
      <c r="G10" s="1"/>
      <c r="H10" s="1"/>
    </row>
    <row r="11" spans="1:10" x14ac:dyDescent="0.25">
      <c r="A11" s="1">
        <v>10</v>
      </c>
      <c r="B11" s="1" t="s">
        <v>15</v>
      </c>
      <c r="C11" s="1" t="s">
        <v>11</v>
      </c>
      <c r="D11" s="1">
        <v>11</v>
      </c>
      <c r="E11" s="1">
        <v>1</v>
      </c>
      <c r="F11" s="2">
        <f>1-(0.25*E11)</f>
        <v>0.75</v>
      </c>
      <c r="G11" s="1"/>
      <c r="H11" s="1"/>
    </row>
    <row r="12" spans="1:10" x14ac:dyDescent="0.25">
      <c r="A12" s="1">
        <v>11</v>
      </c>
      <c r="B12" s="1" t="s">
        <v>15</v>
      </c>
      <c r="C12" s="1" t="s">
        <v>12</v>
      </c>
      <c r="D12" s="1">
        <v>13</v>
      </c>
      <c r="E12" s="1">
        <v>0</v>
      </c>
      <c r="F12" s="2">
        <f>1-(0.25*E12)</f>
        <v>1</v>
      </c>
      <c r="G12" s="1"/>
      <c r="H12" s="1"/>
    </row>
    <row r="13" spans="1:10" x14ac:dyDescent="0.25">
      <c r="A13" s="1">
        <v>12</v>
      </c>
      <c r="B13" s="1" t="s">
        <v>15</v>
      </c>
      <c r="C13" s="1" t="s">
        <v>13</v>
      </c>
      <c r="D13" s="1">
        <v>16</v>
      </c>
      <c r="E13" s="1">
        <v>2</v>
      </c>
      <c r="F13" s="2">
        <f>1-(0.25*E13)</f>
        <v>0.5</v>
      </c>
      <c r="G13" s="1"/>
      <c r="H13" s="1"/>
    </row>
    <row r="15" spans="1:10" x14ac:dyDescent="0.25">
      <c r="B15" s="1" t="s">
        <v>1</v>
      </c>
      <c r="C15" s="1" t="s">
        <v>5</v>
      </c>
      <c r="D15" s="1" t="s">
        <v>6</v>
      </c>
    </row>
    <row r="16" spans="1:10" x14ac:dyDescent="0.25">
      <c r="B16" s="1" t="s">
        <v>16</v>
      </c>
      <c r="C16" s="2">
        <f>SUM(F2:F5)</f>
        <v>3.25</v>
      </c>
      <c r="D16" s="2">
        <f>SUM(G2:G5)</f>
        <v>0</v>
      </c>
    </row>
    <row r="17" spans="2:4" x14ac:dyDescent="0.25">
      <c r="B17" s="1" t="s">
        <v>17</v>
      </c>
      <c r="C17" s="2">
        <f>SUM(F5:F8)</f>
        <v>3.25</v>
      </c>
      <c r="D17" s="2">
        <f>SUM(G5:G8)</f>
        <v>0</v>
      </c>
    </row>
    <row r="18" spans="2:4" x14ac:dyDescent="0.25">
      <c r="B18" s="1" t="s">
        <v>18</v>
      </c>
      <c r="C18" s="2">
        <f>SUM(F10:F13)</f>
        <v>3.25</v>
      </c>
      <c r="D18" s="2">
        <f>SUM(G10:G13)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2026-04-11T07:44:04Z</dcterms:modified>
</cp:coreProperties>
</file>